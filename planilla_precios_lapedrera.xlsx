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Presupuestos\"/>
    </mc:Choice>
  </mc:AlternateContent>
  <xr:revisionPtr revIDLastSave="0" documentId="8_{7557B944-E550-4215-9154-34CE601ADE10}" xr6:coauthVersionLast="47" xr6:coauthVersionMax="47" xr10:uidLastSave="{00000000-0000-0000-0000-000000000000}"/>
  <bookViews>
    <workbookView xWindow="645" yWindow="1365" windowWidth="12795" windowHeight="7875" tabRatio="500" xr2:uid="{00000000-000D-0000-FFFF-FFFF00000000}"/>
  </bookViews>
  <sheets>
    <sheet name="Materiales por Rubro" sheetId="1" r:id="rId1"/>
    <sheet name="Jornales y MO" sheetId="2" r:id="rId2"/>
    <sheet name="Resumen Final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3" l="1"/>
  <c r="B16" i="3"/>
  <c r="B15" i="3"/>
  <c r="C4" i="3"/>
  <c r="E41" i="2"/>
  <c r="E40" i="2"/>
  <c r="F40" i="2" s="1"/>
  <c r="E38" i="2"/>
  <c r="F38" i="2" s="1"/>
  <c r="E37" i="2"/>
  <c r="F37" i="2" s="1"/>
  <c r="E35" i="2"/>
  <c r="F35" i="2" s="1"/>
  <c r="E34" i="2"/>
  <c r="F34" i="2" s="1"/>
  <c r="E32" i="2"/>
  <c r="F32" i="2" s="1"/>
  <c r="E31" i="2"/>
  <c r="F31" i="2" s="1"/>
  <c r="E30" i="2"/>
  <c r="F30" i="2" s="1"/>
  <c r="E28" i="2"/>
  <c r="F28" i="2" s="1"/>
  <c r="E27" i="2"/>
  <c r="F27" i="2" s="1"/>
  <c r="E25" i="2"/>
  <c r="F25" i="2" s="1"/>
  <c r="E24" i="2"/>
  <c r="F24" i="2" s="1"/>
  <c r="E22" i="2"/>
  <c r="F22" i="2" s="1"/>
  <c r="E21" i="2"/>
  <c r="F21" i="2" s="1"/>
  <c r="E19" i="2"/>
  <c r="F19" i="2" s="1"/>
  <c r="E18" i="2"/>
  <c r="F18" i="2" s="1"/>
  <c r="E16" i="2"/>
  <c r="F16" i="2" s="1"/>
  <c r="E15" i="2"/>
  <c r="F15" i="2" s="1"/>
  <c r="E14" i="2"/>
  <c r="F14" i="2" s="1"/>
  <c r="E13" i="2"/>
  <c r="F13" i="2" s="1"/>
  <c r="E11" i="2"/>
  <c r="F11" i="2" s="1"/>
  <c r="E10" i="2"/>
  <c r="F10" i="2" s="1"/>
  <c r="E9" i="2"/>
  <c r="F9" i="2" s="1"/>
  <c r="E7" i="2"/>
  <c r="F7" i="2" s="1"/>
  <c r="E6" i="2"/>
  <c r="F6" i="2" s="1"/>
  <c r="G154" i="1"/>
  <c r="H154" i="1" s="1"/>
  <c r="F154" i="1"/>
  <c r="H153" i="1"/>
  <c r="G153" i="1"/>
  <c r="F153" i="1"/>
  <c r="G152" i="1"/>
  <c r="H152" i="1" s="1"/>
  <c r="F152" i="1"/>
  <c r="H151" i="1"/>
  <c r="G151" i="1"/>
  <c r="F151" i="1"/>
  <c r="G150" i="1"/>
  <c r="H150" i="1" s="1"/>
  <c r="F150" i="1"/>
  <c r="H149" i="1"/>
  <c r="G149" i="1"/>
  <c r="F149" i="1"/>
  <c r="G146" i="1"/>
  <c r="H146" i="1" s="1"/>
  <c r="F146" i="1"/>
  <c r="H143" i="1"/>
  <c r="G143" i="1"/>
  <c r="F143" i="1"/>
  <c r="G142" i="1"/>
  <c r="H142" i="1" s="1"/>
  <c r="F142" i="1"/>
  <c r="H141" i="1"/>
  <c r="G141" i="1"/>
  <c r="F141" i="1"/>
  <c r="G140" i="1"/>
  <c r="H140" i="1" s="1"/>
  <c r="F140" i="1"/>
  <c r="H137" i="1"/>
  <c r="G137" i="1"/>
  <c r="F137" i="1"/>
  <c r="G136" i="1"/>
  <c r="H136" i="1" s="1"/>
  <c r="F136" i="1"/>
  <c r="H135" i="1"/>
  <c r="G135" i="1"/>
  <c r="F135" i="1"/>
  <c r="G134" i="1"/>
  <c r="H134" i="1" s="1"/>
  <c r="F134" i="1"/>
  <c r="H133" i="1"/>
  <c r="G133" i="1"/>
  <c r="F133" i="1"/>
  <c r="G132" i="1"/>
  <c r="H132" i="1" s="1"/>
  <c r="F132" i="1"/>
  <c r="H131" i="1"/>
  <c r="G131" i="1"/>
  <c r="F131" i="1"/>
  <c r="G130" i="1"/>
  <c r="H130" i="1" s="1"/>
  <c r="F130" i="1"/>
  <c r="H129" i="1"/>
  <c r="G129" i="1"/>
  <c r="F129" i="1"/>
  <c r="G126" i="1"/>
  <c r="H126" i="1" s="1"/>
  <c r="F126" i="1"/>
  <c r="H125" i="1"/>
  <c r="G125" i="1"/>
  <c r="F125" i="1"/>
  <c r="G124" i="1"/>
  <c r="H124" i="1" s="1"/>
  <c r="F124" i="1"/>
  <c r="H123" i="1"/>
  <c r="G123" i="1"/>
  <c r="F123" i="1"/>
  <c r="G122" i="1"/>
  <c r="H122" i="1" s="1"/>
  <c r="F122" i="1"/>
  <c r="H121" i="1"/>
  <c r="G121" i="1"/>
  <c r="F121" i="1"/>
  <c r="G120" i="1"/>
  <c r="H120" i="1" s="1"/>
  <c r="F120" i="1"/>
  <c r="H119" i="1"/>
  <c r="G119" i="1"/>
  <c r="F119" i="1"/>
  <c r="G118" i="1"/>
  <c r="H118" i="1" s="1"/>
  <c r="F118" i="1"/>
  <c r="H115" i="1"/>
  <c r="G115" i="1"/>
  <c r="F115" i="1"/>
  <c r="G114" i="1"/>
  <c r="H114" i="1" s="1"/>
  <c r="F114" i="1"/>
  <c r="H113" i="1"/>
  <c r="G113" i="1"/>
  <c r="F113" i="1"/>
  <c r="G110" i="1"/>
  <c r="H110" i="1" s="1"/>
  <c r="F110" i="1"/>
  <c r="H109" i="1"/>
  <c r="G109" i="1"/>
  <c r="F109" i="1"/>
  <c r="G108" i="1"/>
  <c r="H108" i="1" s="1"/>
  <c r="F108" i="1"/>
  <c r="H105" i="1"/>
  <c r="G105" i="1"/>
  <c r="F105" i="1"/>
  <c r="G104" i="1"/>
  <c r="H104" i="1" s="1"/>
  <c r="F104" i="1"/>
  <c r="H103" i="1"/>
  <c r="G103" i="1"/>
  <c r="F103" i="1"/>
  <c r="G102" i="1"/>
  <c r="H102" i="1" s="1"/>
  <c r="F102" i="1"/>
  <c r="H99" i="1"/>
  <c r="G99" i="1"/>
  <c r="F99" i="1"/>
  <c r="G98" i="1"/>
  <c r="H98" i="1" s="1"/>
  <c r="F98" i="1"/>
  <c r="H95" i="1"/>
  <c r="G95" i="1"/>
  <c r="F95" i="1"/>
  <c r="G94" i="1"/>
  <c r="H94" i="1" s="1"/>
  <c r="F94" i="1"/>
  <c r="H93" i="1"/>
  <c r="G93" i="1"/>
  <c r="F93" i="1"/>
  <c r="G92" i="1"/>
  <c r="H92" i="1" s="1"/>
  <c r="F92" i="1"/>
  <c r="H89" i="1"/>
  <c r="G89" i="1"/>
  <c r="F89" i="1"/>
  <c r="G88" i="1"/>
  <c r="H88" i="1" s="1"/>
  <c r="F88" i="1"/>
  <c r="H87" i="1"/>
  <c r="G87" i="1"/>
  <c r="F87" i="1"/>
  <c r="G86" i="1"/>
  <c r="H86" i="1" s="1"/>
  <c r="F86" i="1"/>
  <c r="H83" i="1"/>
  <c r="G83" i="1"/>
  <c r="F83" i="1"/>
  <c r="G82" i="1"/>
  <c r="H82" i="1" s="1"/>
  <c r="F82" i="1"/>
  <c r="H81" i="1"/>
  <c r="G81" i="1"/>
  <c r="F81" i="1"/>
  <c r="G80" i="1"/>
  <c r="H80" i="1" s="1"/>
  <c r="F80" i="1"/>
  <c r="H77" i="1"/>
  <c r="G77" i="1"/>
  <c r="F77" i="1"/>
  <c r="G76" i="1"/>
  <c r="H76" i="1" s="1"/>
  <c r="F76" i="1"/>
  <c r="H73" i="1"/>
  <c r="G73" i="1"/>
  <c r="F73" i="1"/>
  <c r="G72" i="1"/>
  <c r="H72" i="1" s="1"/>
  <c r="F72" i="1"/>
  <c r="H71" i="1"/>
  <c r="G71" i="1"/>
  <c r="F71" i="1"/>
  <c r="G70" i="1"/>
  <c r="H70" i="1" s="1"/>
  <c r="F70" i="1"/>
  <c r="H69" i="1"/>
  <c r="G69" i="1"/>
  <c r="F69" i="1"/>
  <c r="G66" i="1"/>
  <c r="H66" i="1" s="1"/>
  <c r="F66" i="1"/>
  <c r="H65" i="1"/>
  <c r="G65" i="1"/>
  <c r="F65" i="1"/>
  <c r="G64" i="1"/>
  <c r="H64" i="1" s="1"/>
  <c r="F64" i="1"/>
  <c r="H61" i="1"/>
  <c r="G61" i="1"/>
  <c r="F61" i="1"/>
  <c r="G60" i="1"/>
  <c r="H60" i="1" s="1"/>
  <c r="F60" i="1"/>
  <c r="H59" i="1"/>
  <c r="G59" i="1"/>
  <c r="F59" i="1"/>
  <c r="G56" i="1"/>
  <c r="H56" i="1" s="1"/>
  <c r="F56" i="1"/>
  <c r="H55" i="1"/>
  <c r="G55" i="1"/>
  <c r="F55" i="1"/>
  <c r="G54" i="1"/>
  <c r="H54" i="1" s="1"/>
  <c r="F54" i="1"/>
  <c r="H53" i="1"/>
  <c r="G53" i="1"/>
  <c r="F53" i="1"/>
  <c r="G50" i="1"/>
  <c r="H50" i="1" s="1"/>
  <c r="F50" i="1"/>
  <c r="H49" i="1"/>
  <c r="G49" i="1"/>
  <c r="F49" i="1"/>
  <c r="G48" i="1"/>
  <c r="H48" i="1" s="1"/>
  <c r="F48" i="1"/>
  <c r="H47" i="1"/>
  <c r="G47" i="1"/>
  <c r="F47" i="1"/>
  <c r="G44" i="1"/>
  <c r="H44" i="1" s="1"/>
  <c r="F44" i="1"/>
  <c r="H43" i="1"/>
  <c r="G43" i="1"/>
  <c r="F43" i="1"/>
  <c r="G42" i="1"/>
  <c r="H42" i="1" s="1"/>
  <c r="F42" i="1"/>
  <c r="H39" i="1"/>
  <c r="G39" i="1"/>
  <c r="F39" i="1"/>
  <c r="G38" i="1"/>
  <c r="H38" i="1" s="1"/>
  <c r="F38" i="1"/>
  <c r="H37" i="1"/>
  <c r="G37" i="1"/>
  <c r="F37" i="1"/>
  <c r="G34" i="1"/>
  <c r="H34" i="1" s="1"/>
  <c r="F34" i="1"/>
  <c r="H33" i="1"/>
  <c r="G33" i="1"/>
  <c r="F33" i="1"/>
  <c r="G32" i="1"/>
  <c r="H32" i="1" s="1"/>
  <c r="F32" i="1"/>
  <c r="H31" i="1"/>
  <c r="G31" i="1"/>
  <c r="F31" i="1"/>
  <c r="G28" i="1"/>
  <c r="H28" i="1" s="1"/>
  <c r="F28" i="1"/>
  <c r="H27" i="1"/>
  <c r="G27" i="1"/>
  <c r="F27" i="1"/>
  <c r="G26" i="1"/>
  <c r="H26" i="1" s="1"/>
  <c r="F26" i="1"/>
  <c r="H25" i="1"/>
  <c r="G25" i="1"/>
  <c r="F25" i="1"/>
  <c r="G22" i="1"/>
  <c r="H22" i="1" s="1"/>
  <c r="F22" i="1"/>
  <c r="H21" i="1"/>
  <c r="G21" i="1"/>
  <c r="F21" i="1"/>
  <c r="G20" i="1"/>
  <c r="H20" i="1" s="1"/>
  <c r="F20" i="1"/>
  <c r="H19" i="1"/>
  <c r="G19" i="1"/>
  <c r="F19" i="1"/>
  <c r="G18" i="1"/>
  <c r="H18" i="1" s="1"/>
  <c r="F18" i="1"/>
  <c r="H17" i="1"/>
  <c r="G17" i="1"/>
  <c r="F17" i="1"/>
  <c r="G14" i="1"/>
  <c r="H14" i="1" s="1"/>
  <c r="F14" i="1"/>
  <c r="H13" i="1"/>
  <c r="G13" i="1"/>
  <c r="F13" i="1"/>
  <c r="G12" i="1"/>
  <c r="H12" i="1" s="1"/>
  <c r="F12" i="1"/>
  <c r="H11" i="1"/>
  <c r="G11" i="1"/>
  <c r="F11" i="1"/>
  <c r="G8" i="1"/>
  <c r="H8" i="1" s="1"/>
  <c r="F8" i="1"/>
  <c r="H7" i="1"/>
  <c r="G7" i="1"/>
  <c r="F7" i="1"/>
  <c r="G6" i="1"/>
  <c r="H6" i="1" s="1"/>
  <c r="F6" i="1"/>
  <c r="G21" i="2" l="1"/>
  <c r="H21" i="2" s="1"/>
  <c r="G9" i="2"/>
  <c r="H9" i="2" s="1"/>
  <c r="G14" i="2"/>
  <c r="H14" i="2" s="1"/>
  <c r="G19" i="2"/>
  <c r="H19" i="2" s="1"/>
  <c r="G25" i="2"/>
  <c r="H25" i="2" s="1"/>
  <c r="G31" i="2"/>
  <c r="H31" i="2" s="1"/>
  <c r="G37" i="2"/>
  <c r="H37" i="2" s="1"/>
  <c r="G38" i="2"/>
  <c r="H38" i="2" s="1"/>
  <c r="G10" i="2"/>
  <c r="H10" i="2" s="1"/>
  <c r="G32" i="2"/>
  <c r="H32" i="2" s="1"/>
  <c r="F41" i="2"/>
  <c r="G6" i="2"/>
  <c r="H11" i="2"/>
  <c r="G11" i="2"/>
  <c r="G16" i="2"/>
  <c r="H16" i="2" s="1"/>
  <c r="H22" i="2"/>
  <c r="G22" i="2"/>
  <c r="G28" i="2"/>
  <c r="H28" i="2" s="1"/>
  <c r="H34" i="2"/>
  <c r="G34" i="2"/>
  <c r="G40" i="2"/>
  <c r="H40" i="2" s="1"/>
  <c r="H15" i="2"/>
  <c r="G15" i="2"/>
  <c r="G27" i="2"/>
  <c r="H27" i="2" s="1"/>
  <c r="H7" i="2"/>
  <c r="G7" i="2"/>
  <c r="G13" i="2"/>
  <c r="H13" i="2" s="1"/>
  <c r="H18" i="2"/>
  <c r="G18" i="2"/>
  <c r="G24" i="2"/>
  <c r="H24" i="2" s="1"/>
  <c r="H30" i="2"/>
  <c r="G30" i="2"/>
  <c r="G35" i="2"/>
  <c r="H35" i="2" s="1"/>
  <c r="G41" i="2" l="1"/>
  <c r="B6" i="3" s="1"/>
  <c r="C6" i="3" s="1"/>
  <c r="H6" i="2"/>
  <c r="H41" i="2" s="1"/>
  <c r="B5" i="3" s="1"/>
  <c r="B7" i="3" l="1"/>
  <c r="C5" i="3"/>
  <c r="B12" i="3" l="1"/>
  <c r="C12" i="3" s="1"/>
  <c r="B10" i="3"/>
  <c r="C10" i="3" s="1"/>
  <c r="C7" i="3"/>
  <c r="D4" i="3"/>
  <c r="B11" i="3"/>
  <c r="C11" i="3" s="1"/>
  <c r="D5" i="3"/>
  <c r="D6" i="3"/>
</calcChain>
</file>

<file path=xl/sharedStrings.xml><?xml version="1.0" encoding="utf-8"?>
<sst xmlns="http://schemas.openxmlformats.org/spreadsheetml/2006/main" count="539" uniqueCount="270">
  <si>
    <t>SMART BUILDING URUGUAY — PLANILLA INTERNA DE PRECIOS DE MATERIALES</t>
  </si>
  <si>
    <t>La Pedrera — Vivienda Unifamiliar  |  Precios mercado UY mayo 2026  |  TC $41.50 UYU/U$S  |  Jornal laudo Cat V: $2.953 UYU (Grupo 9 Sub 01 abr.2025)  |  Celdas AZULES = editables</t>
  </si>
  <si>
    <t xml:space="preserve">  Leyenda:  🔵 Azul = precio unitario editable (cambialo para revisar impacto)   ⚫ Negro = formula automática   🟡 Fondo amarillo = campo de input</t>
  </si>
  <si>
    <t>Cat.</t>
  </si>
  <si>
    <t>Material / Descripcion</t>
  </si>
  <si>
    <t>Unidad</t>
  </si>
  <si>
    <t>Qty/ud rubro</t>
  </si>
  <si>
    <t>P.Unit UYU ✏</t>
  </si>
  <si>
    <t>P.Unit U$S</t>
  </si>
  <si>
    <t>Total UYU</t>
  </si>
  <si>
    <t>Total U$S</t>
  </si>
  <si>
    <t>Fuente / Referencia</t>
  </si>
  <si>
    <t xml:space="preserve">  Zapatas HoAo 60x60cm  (57 un  |  U$S 215.0/u  |  Total materiales: U$S 12,255</t>
  </si>
  <si>
    <t>CIM</t>
  </si>
  <si>
    <t xml:space="preserve">  Hormigon H21 c/ bomba (0.06m3/zap)</t>
  </si>
  <si>
    <t>m3</t>
  </si>
  <si>
    <t>CYPE UY 2025 — $9.190/m3</t>
  </si>
  <si>
    <t xml:space="preserve">  Hierro o10mm malla</t>
  </si>
  <si>
    <t>kg</t>
  </si>
  <si>
    <t>Mercado UY</t>
  </si>
  <si>
    <t xml:space="preserve">  Alambre y separadores</t>
  </si>
  <si>
    <t>gl</t>
  </si>
  <si>
    <t>Estimado</t>
  </si>
  <si>
    <t xml:space="preserve">  Pilares cano PVC 160mm relleno HoAo  (57 un  |  U$S 80.0/u  |  Total materiales: U$S 4,560</t>
  </si>
  <si>
    <t xml:space="preserve">  Cano PVC 160mm x 1m</t>
  </si>
  <si>
    <t>un</t>
  </si>
  <si>
    <t>Sodimac/Rotoplas UY</t>
  </si>
  <si>
    <t xml:space="preserve">  Hierro o12mm x 1m (2/pilar)</t>
  </si>
  <si>
    <t>ml</t>
  </si>
  <si>
    <t xml:space="preserve">  Hormigon H21 relleno</t>
  </si>
  <si>
    <t>CYPE UY 2025</t>
  </si>
  <si>
    <t xml:space="preserve">  Anclaje placa base SF</t>
  </si>
  <si>
    <t>Pritech UY</t>
  </si>
  <si>
    <t xml:space="preserve">  Paredes exteriores — estructura + cerramiento  (134 m2  |  U$S 62.0/u  |  Total materiales: U$S 8,308</t>
  </si>
  <si>
    <t>EST</t>
  </si>
  <si>
    <t xml:space="preserve">  Perfil PGC 150 galv. c/60cm</t>
  </si>
  <si>
    <t>Pritech UY — pritech.uy</t>
  </si>
  <si>
    <t xml:space="preserve">  Perfil PGU 150 soleras</t>
  </si>
  <si>
    <t xml:space="preserve">  Tornilleria autoperforante</t>
  </si>
  <si>
    <t xml:space="preserve">  Placa OSB 11mm</t>
  </si>
  <si>
    <t>m2</t>
  </si>
  <si>
    <t>Prodeco UY — $633/placa 2.88m2</t>
  </si>
  <si>
    <t xml:space="preserve">  Membrana Tyvek</t>
  </si>
  <si>
    <t>Mercado UY ~U$S 3.5/m2</t>
  </si>
  <si>
    <t xml:space="preserve">  Lana mineral 75mm Isover</t>
  </si>
  <si>
    <t>Isover UY</t>
  </si>
  <si>
    <t xml:space="preserve">  Paredes interiores — estructura  (175 m2  |  U$S 28.0/u  |  Total materiales: U$S 4,900</t>
  </si>
  <si>
    <t xml:space="preserve">  Perfil PGC 100 galv.</t>
  </si>
  <si>
    <t xml:space="preserve">  Perfil PGU 100 soleras</t>
  </si>
  <si>
    <t xml:space="preserve">  Lana mineral 50mm acustica</t>
  </si>
  <si>
    <t xml:space="preserve">  Placa yeso interior (doble cara)  (175 m2  |  U$S 18.0/u  |  Total materiales: U$S 3,150</t>
  </si>
  <si>
    <t xml:space="preserve">  Placa yeso Knauf std 12.5mm</t>
  </si>
  <si>
    <t>Prodeco UY — $633/placa</t>
  </si>
  <si>
    <t xml:space="preserve">  Placa yeso hidrofuga RH banos</t>
  </si>
  <si>
    <t>Prodeco UY</t>
  </si>
  <si>
    <t xml:space="preserve">  Masilla Knauf + cinta juntas</t>
  </si>
  <si>
    <t xml:space="preserve">  Tornillos yeso</t>
  </si>
  <si>
    <t xml:space="preserve">  Estructura cubierta steel frame  (120 m2  |  U$S 22.0/u  |  Total materiales: U$S 2,640</t>
  </si>
  <si>
    <t>CUB</t>
  </si>
  <si>
    <t xml:space="preserve">  Correa PGC 150 galv. c/1.2m</t>
  </si>
  <si>
    <t xml:space="preserve">  Cabriada / viga ridge SF</t>
  </si>
  <si>
    <t xml:space="preserve">  Tornilleria y anclajes</t>
  </si>
  <si>
    <t xml:space="preserve">  Sarking OSB + Tyvek + lana cubierta  (130 m2  |  U$S 22.0/u  |  Total materiales: U$S 2,860</t>
  </si>
  <si>
    <t xml:space="preserve">  Placa OSB 15mm sarking</t>
  </si>
  <si>
    <t xml:space="preserve">  Membrana Tyvek breathable</t>
  </si>
  <si>
    <t xml:space="preserve">  Lana mineral 100mm techo</t>
  </si>
  <si>
    <t xml:space="preserve">  Chapa cubierta 4 aguas  (130 m2  |  U$S 22.0/u  |  Total materiales: U$S 2,860</t>
  </si>
  <si>
    <t xml:space="preserve">  Chapa Galvalum Cal 28 ondulada</t>
  </si>
  <si>
    <t>Pritech UY — $279/ml x 0.98m util</t>
  </si>
  <si>
    <t xml:space="preserve">  Cumbrera y limatesas</t>
  </si>
  <si>
    <t xml:space="preserve">  Babetas laterales zinc</t>
  </si>
  <si>
    <t xml:space="preserve">  Tornillos autoperf. EPDM</t>
  </si>
  <si>
    <t xml:space="preserve">  Pergolas Norte + Sur  (32 m2  |  U$S 32.0/u  |  Total materiales: U$S 1,024</t>
  </si>
  <si>
    <t xml:space="preserve">  Policarbonato ondulado 6mm</t>
  </si>
  <si>
    <t>Pritech UY disponible</t>
  </si>
  <si>
    <t xml:space="preserve">  Alfajias pino tratado 2x4</t>
  </si>
  <si>
    <t xml:space="preserve">  Tornilleria inox</t>
  </si>
  <si>
    <t xml:space="preserve">  Perfiles de cierre</t>
  </si>
  <si>
    <t xml:space="preserve">  Barrera de viento + listones soporte  (134 m2  |  U$S 10.0/u  |  Total materiales: U$S 1,340</t>
  </si>
  <si>
    <t>FAC</t>
  </si>
  <si>
    <t xml:space="preserve">  Membrana barrera de viento</t>
  </si>
  <si>
    <t>Mercado UY ~U$S 3/m2</t>
  </si>
  <si>
    <t xml:space="preserve">  Listones pino 1x2</t>
  </si>
  <si>
    <t xml:space="preserve">  Tornilleria galvanizada</t>
  </si>
  <si>
    <t xml:space="preserve">  Revestimiento exterior cladding pino autoclave H3  (134 m2  |  U$S 55.0/u  |  Total materiales: U$S 7,370</t>
  </si>
  <si>
    <t xml:space="preserve">  Tablas cladding pino H3</t>
  </si>
  <si>
    <t>Maderas Aguirre UY</t>
  </si>
  <si>
    <t xml:space="preserve">  Lasur protector 2 manos</t>
  </si>
  <si>
    <t>lts</t>
  </si>
  <si>
    <t xml:space="preserve">  Estructura deck madera pino autoclave H4  (131 m2  |  U$S 40.0/u  |  Total materiales: U$S 5,240</t>
  </si>
  <si>
    <t>DEC</t>
  </si>
  <si>
    <t xml:space="preserve">  Viga pino H4 3x6 principal</t>
  </si>
  <si>
    <t xml:space="preserve">  Travesano pino H4 2x6 c/60cm</t>
  </si>
  <si>
    <t xml:space="preserve">  Tornilleria galvanizada M12</t>
  </si>
  <si>
    <t xml:space="preserve">  Anclajes joist hanger</t>
  </si>
  <si>
    <t xml:space="preserve">  Membrana bajo viga</t>
  </si>
  <si>
    <t xml:space="preserve">  Tablas deck Cumaru 19x90mm  (131 m2  |  U$S 88.0/u  |  Total materiales: U$S 11,528</t>
  </si>
  <si>
    <t>Importado — cotizar</t>
  </si>
  <si>
    <t xml:space="preserve">  Tornillos inox ocultos</t>
  </si>
  <si>
    <t xml:space="preserve">  Pintura interior latex lavable  (350 m2  |  U$S 8.0/u  |  Total materiales: U$S 2,800</t>
  </si>
  <si>
    <t>REV</t>
  </si>
  <si>
    <t xml:space="preserve">  Masilla fina yeso</t>
  </si>
  <si>
    <t xml:space="preserve">  Imprimacion fijadora</t>
  </si>
  <si>
    <t xml:space="preserve">  Latex lavable 2 manos</t>
  </si>
  <si>
    <t>Elbex/Corona UY</t>
  </si>
  <si>
    <t xml:space="preserve">  Lijas y varios</t>
  </si>
  <si>
    <t xml:space="preserve">  Revestimiento banos porcelanato 30x60  (60 m2  |  U$S 28.0/u  |  Total materiales: U$S 1,680</t>
  </si>
  <si>
    <t xml:space="preserve">  Porcelanato 30x60 rectificado</t>
  </si>
  <si>
    <t>Mercado UY U$S 18-22/m2</t>
  </si>
  <si>
    <t xml:space="preserve">  Adhesivo Klaukol flexible</t>
  </si>
  <si>
    <t>Klaukol UY</t>
  </si>
  <si>
    <t xml:space="preserve">  Frague Keracolor</t>
  </si>
  <si>
    <t xml:space="preserve">  Sellador silicona</t>
  </si>
  <si>
    <t xml:space="preserve">  Piso banos + cocina porcelanato 60x60  (30 m2  |  U$S 26.0/u  |  Total materiales: U$S 780</t>
  </si>
  <si>
    <t>PIS</t>
  </si>
  <si>
    <t xml:space="preserve">  Porcelanato 60x60 antideslizante</t>
  </si>
  <si>
    <t>Mercado UY U$S 22-28/m2</t>
  </si>
  <si>
    <t xml:space="preserve">  Autonivelante</t>
  </si>
  <si>
    <t xml:space="preserve">  Adhesivo Klaukol</t>
  </si>
  <si>
    <t xml:space="preserve">  Piso living + dormitorios madera ingenieria 12mm  (77 m2  |  U$S 38.0/u  |  Total materiales: U$S 2,926</t>
  </si>
  <si>
    <t xml:space="preserve">  Madera ingenieria 12mm flotante</t>
  </si>
  <si>
    <t>Mercado UY U$S 30-35/m2</t>
  </si>
  <si>
    <t xml:space="preserve">  Zocalo MDF</t>
  </si>
  <si>
    <t xml:space="preserve">  Ventanas aluminio anodizado DVH  (10 un  |  U$S 350.0/u  |  Total materiales: U$S 3,500</t>
  </si>
  <si>
    <t>ABE</t>
  </si>
  <si>
    <t xml:space="preserve">  Ventana aluminio DVH 4+9+4</t>
  </si>
  <si>
    <t>Mercado UY U$S 320-380/un</t>
  </si>
  <si>
    <t xml:space="preserve">  Contramarco aluminio</t>
  </si>
  <si>
    <t xml:space="preserve">  Sellador PU espuma</t>
  </si>
  <si>
    <t xml:space="preserve">  Silicona exterior</t>
  </si>
  <si>
    <t xml:space="preserve">  Puertas interiores placa HDF c/ marco  (7 un  |  U$S 165.0/u  |  Total materiales: U$S 1,155</t>
  </si>
  <si>
    <t xml:space="preserve">  Puerta HDF 0.80x2.05m c/ marco</t>
  </si>
  <si>
    <t xml:space="preserve">  Herrajes bisagras+picaporte</t>
  </si>
  <si>
    <t>jgo</t>
  </si>
  <si>
    <t xml:space="preserve">  Tope de puerta</t>
  </si>
  <si>
    <t xml:space="preserve">  Puerta exterior madera maciza pivotante  (1 un  |  U$S 620.0/u  |  Total materiales: U$S 620</t>
  </si>
  <si>
    <t xml:space="preserve">  Puerta madera dura+vidrio+pivote</t>
  </si>
  <si>
    <t>Mercado UY U$S 620</t>
  </si>
  <si>
    <t xml:space="preserve">  Cerradura de seguridad</t>
  </si>
  <si>
    <t xml:space="preserve">  Sellado PU+silicona</t>
  </si>
  <si>
    <t xml:space="preserve">  Instalacion sanitaria completa  (1 gl  |  U$S 3200.0/u  |  Total materiales: U$S 3,200</t>
  </si>
  <si>
    <t>INS</t>
  </si>
  <si>
    <t xml:space="preserve">  Caneria PPR o20-25mm agua fria</t>
  </si>
  <si>
    <t>Mercado UY U$S 3.2/ml</t>
  </si>
  <si>
    <t xml:space="preserve">  Caneria PPR o20mm caliente</t>
  </si>
  <si>
    <t>Mercado UY U$S 3.8/ml</t>
  </si>
  <si>
    <t xml:space="preserve">  PVC desague o110mm</t>
  </si>
  <si>
    <t>Mercado UY U$S 5.5/ml</t>
  </si>
  <si>
    <t xml:space="preserve">  PVC desague o63mm</t>
  </si>
  <si>
    <t xml:space="preserve">  Columna ventilacion o63mm</t>
  </si>
  <si>
    <t xml:space="preserve">  Accesorios varios</t>
  </si>
  <si>
    <t xml:space="preserve">  Camaras inspeccion PVC</t>
  </si>
  <si>
    <t xml:space="preserve">  Calefon a gas 16L</t>
  </si>
  <si>
    <t>Mercado UY U$S 280</t>
  </si>
  <si>
    <t xml:space="preserve">  Bomba presurizadora</t>
  </si>
  <si>
    <t>Mercado UY U$S 150</t>
  </si>
  <si>
    <t xml:space="preserve">  Instalacion electrica completa  (1 gl  |  U$S 3800.0/u  |  Total materiales: U$S 3,800</t>
  </si>
  <si>
    <t xml:space="preserve">  Tablero 24 polos c/ diferencial</t>
  </si>
  <si>
    <t>Mercado UY U$S 240</t>
  </si>
  <si>
    <t xml:space="preserve">  Cable 2.5mm2 iluminacion</t>
  </si>
  <si>
    <t>Mercado UY U$S 1.5/ml</t>
  </si>
  <si>
    <t xml:space="preserve">  Cable 4mm2 tomacorrientes</t>
  </si>
  <si>
    <t>Mercado UY U$S 2/ml</t>
  </si>
  <si>
    <t xml:space="preserve">  Cable 6mm2 cocina/calefon</t>
  </si>
  <si>
    <t>Mercado UY U$S 2.8/ml</t>
  </si>
  <si>
    <t xml:space="preserve">  Caneria corrugada o20mm</t>
  </si>
  <si>
    <t xml:space="preserve">  Cajas rect. y octogonales</t>
  </si>
  <si>
    <t xml:space="preserve">  Tomacorrientes dobles c/ tierra</t>
  </si>
  <si>
    <t>Mercado UY U$S 7/un</t>
  </si>
  <si>
    <t xml:space="preserve">  Llaves simples/dobles</t>
  </si>
  <si>
    <t>Mercado UY U$S 6/un</t>
  </si>
  <si>
    <t xml:space="preserve">  Bocas de luz</t>
  </si>
  <si>
    <t>Mercado UY U$S 4/un</t>
  </si>
  <si>
    <t xml:space="preserve">  Sanitarios y griferias linea basica (3 banos)  (3 jgo  |  U$S 820.0/u  |  Total materiales: U$S 2,460</t>
  </si>
  <si>
    <t>COC</t>
  </si>
  <si>
    <t xml:space="preserve">  WC convencional c/ asiento</t>
  </si>
  <si>
    <t xml:space="preserve">  Lavatorio con pedestal</t>
  </si>
  <si>
    <t xml:space="preserve">  Set ducha monocomando</t>
  </si>
  <si>
    <t xml:space="preserve">  Griferia lavatorio</t>
  </si>
  <si>
    <t xml:space="preserve">  Mesada cocina granito gris mara  (3 ml  |  U$S 170.0/u  |  Total materiales: U$S 510</t>
  </si>
  <si>
    <t xml:space="preserve">  Granito gris mara 2cm c/ zocalo</t>
  </si>
  <si>
    <t>Mercado UY U$S 170/ml</t>
  </si>
  <si>
    <t xml:space="preserve">  Parrillero ladrillo refractario + chimenea  (1 un  |  U$S 1050.0/u  |  Total materiales: U$S 1,050</t>
  </si>
  <si>
    <t>PAR</t>
  </si>
  <si>
    <t xml:space="preserve">  Ladrillo refractario 24x11x5cm</t>
  </si>
  <si>
    <t>Mercado UY U$S 2.2/un</t>
  </si>
  <si>
    <t xml:space="preserve">  Ladrillo comun cuerpo</t>
  </si>
  <si>
    <t>Mercado UY U$S 0.7/un</t>
  </si>
  <si>
    <t xml:space="preserve">  Cemento refractario 25kg</t>
  </si>
  <si>
    <t>bs</t>
  </si>
  <si>
    <t>Mercado UY U$S 18/bs</t>
  </si>
  <si>
    <t xml:space="preserve">  Parrilla acero inox 60x40cm</t>
  </si>
  <si>
    <t>Mercado UY U$S 75</t>
  </si>
  <si>
    <t xml:space="preserve">  Canon inox o200mm x3m</t>
  </si>
  <si>
    <t xml:space="preserve">  Sombrero chimenea inox</t>
  </si>
  <si>
    <t>Mercado UY U$S 38</t>
  </si>
  <si>
    <t>JORNALES Y COSTO MANO DE OBRA — SMART BUILDING URUGUAY</t>
  </si>
  <si>
    <t>Jornal laudo Cat V (UYU) →</t>
  </si>
  <si>
    <t>AUC % →</t>
  </si>
  <si>
    <t>TC (UYU/U$S) →</t>
  </si>
  <si>
    <t xml:space="preserve">  Celdas azules = editables. Las formulas calculan automaticamente nomina, AUC y total MO+BPS al cambiar jornal, AUC% o jornales por rubro.</t>
  </si>
  <si>
    <t>Rubro</t>
  </si>
  <si>
    <t>Cant.</t>
  </si>
  <si>
    <t>Ud.</t>
  </si>
  <si>
    <t>J/ud o total ✏</t>
  </si>
  <si>
    <t>Jornales tot.</t>
  </si>
  <si>
    <t>Nomina UYU</t>
  </si>
  <si>
    <t>AUC UYU</t>
  </si>
  <si>
    <t>Total MO+AUC UYU</t>
  </si>
  <si>
    <t xml:space="preserve">  CIMENTACION</t>
  </si>
  <si>
    <t>Zapatas HoAo 60x60cm</t>
  </si>
  <si>
    <t>Pilares cano PVC 160mm relleno HoAo</t>
  </si>
  <si>
    <t xml:space="preserve">  ESTRUCTURA SF</t>
  </si>
  <si>
    <t>Paredes exteriores — estructura + cerramiento</t>
  </si>
  <si>
    <t>Paredes interiores — estructura</t>
  </si>
  <si>
    <t>Placa yeso interior (doble cara)</t>
  </si>
  <si>
    <t xml:space="preserve">  CUBIERTA</t>
  </si>
  <si>
    <t>Estructura cubierta steel frame</t>
  </si>
  <si>
    <t>Sarking OSB + Tyvek + lana cubierta</t>
  </si>
  <si>
    <t>Chapa cubierta 4 aguas</t>
  </si>
  <si>
    <t>Pergolas Norte + Sur</t>
  </si>
  <si>
    <t xml:space="preserve">  FACHADA EXTERIOR</t>
  </si>
  <si>
    <t>Barrera de viento + listones soporte</t>
  </si>
  <si>
    <t>Revestimiento exterior cladding pino autoclave H3</t>
  </si>
  <si>
    <t xml:space="preserve">  DECK EXTERIOR</t>
  </si>
  <si>
    <t>Estructura deck madera pino autoclave H4</t>
  </si>
  <si>
    <t>Tablas deck Cumaru 19x90mm</t>
  </si>
  <si>
    <t xml:space="preserve">  REV. INTERIOR</t>
  </si>
  <si>
    <t>Pintura interior latex lavable</t>
  </si>
  <si>
    <t>Revestimiento banos porcelanato 30x60</t>
  </si>
  <si>
    <t xml:space="preserve">  PISOS</t>
  </si>
  <si>
    <t>Piso banos + cocina porcelanato 60x60</t>
  </si>
  <si>
    <t>Piso living + dormitorios madera ingenieria 12mm</t>
  </si>
  <si>
    <t xml:space="preserve">  ABERTURAS</t>
  </si>
  <si>
    <t>Ventanas aluminio anodizado DVH</t>
  </si>
  <si>
    <t>Puertas interiores placa HDF c/ marco</t>
  </si>
  <si>
    <t>Puerta exterior madera maciza pivotante</t>
  </si>
  <si>
    <t xml:space="preserve">  INSTALACIONES</t>
  </si>
  <si>
    <t>Instalacion sanitaria completa</t>
  </si>
  <si>
    <t>Instalacion electrica completa</t>
  </si>
  <si>
    <t xml:space="preserve">  COCINA Y BANOS</t>
  </si>
  <si>
    <t>Sanitarios y griferias linea basica (3 banos)</t>
  </si>
  <si>
    <t>Mesada cocina granito gris mara</t>
  </si>
  <si>
    <t xml:space="preserve">  PARRILLERO</t>
  </si>
  <si>
    <t>Parrillero ladrillo refractario + chimenea</t>
  </si>
  <si>
    <t>TOTAL</t>
  </si>
  <si>
    <t>RESUMEN FINANCIERO — SMART BUILDING URUGUAY</t>
  </si>
  <si>
    <t>Vivienda Unifamiliar La Pedrera — Mayo 2026  |  Celdas AZULES = editables — formulas se recalculan automaticamente</t>
  </si>
  <si>
    <t>Concepto</t>
  </si>
  <si>
    <t>U$S</t>
  </si>
  <si>
    <t>$ UYU</t>
  </si>
  <si>
    <t>% total</t>
  </si>
  <si>
    <t>Materiales de construccion</t>
  </si>
  <si>
    <t>Mano de obra + Direccion y Gestion + Imprevistos + Beneficio empresa</t>
  </si>
  <si>
    <t>BPS — Aporte Unificado de la Construccion (AUC 75.8%)</t>
  </si>
  <si>
    <t>TOTAL AL CLIENTE  (IVA no incluido)</t>
  </si>
  <si>
    <t>100%</t>
  </si>
  <si>
    <t>PRECIO POR M2 — editar m2 en col D (azul)</t>
  </si>
  <si>
    <t>Casa construida</t>
  </si>
  <si>
    <t>← m2 editables</t>
  </si>
  <si>
    <t>Deck exterior</t>
  </si>
  <si>
    <t>Pergolas Norte+Sur</t>
  </si>
  <si>
    <t>PARAMETROS FINANCIEROS (editables)</t>
  </si>
  <si>
    <t>Imprevistos %</t>
  </si>
  <si>
    <t>Beneficio empresa %</t>
  </si>
  <si>
    <t>TC referencia UYU/U$S</t>
  </si>
  <si>
    <t>TC</t>
  </si>
  <si>
    <t>Imprevistos%</t>
  </si>
  <si>
    <t>Empresa%</t>
  </si>
  <si>
    <t xml:space="preserve">Tabla de Deck de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</si>
</sst>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"/>
    <numFmt numFmtId="165" formatCode="&quot;U$S &quot;#,##0.00"/>
    <numFmt numFmtId="166" formatCode="\$#,##0"/>
    <numFmt numFmtId="167" formatCode="&quot;U$S &quot;#,##0"/>
    <numFmt numFmtId="168" formatCode="0.0\%"/>
    <numFmt numFmtId="169" formatCode="#,##0.0"/>
    <numFmt numFmtId="170" formatCode="0.0%"/>
  </numFmts>
  <fonts count="3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8B7355"/>
      <name val="Arial"/>
      <charset val="1"/>
    </font>
    <font>
      <i/>
      <sz val="8"/>
      <color rgb="FF1C140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7A6040"/>
      <name val="Arial"/>
      <charset val="1"/>
    </font>
    <font>
      <sz val="9"/>
      <color rgb="FF333333"/>
      <name val="Arial"/>
      <charset val="1"/>
    </font>
    <font>
      <sz val="9"/>
      <color rgb="FF1C1409"/>
      <name val="Arial"/>
      <charset val="1"/>
    </font>
    <font>
      <b/>
      <sz val="10"/>
      <color rgb="FF0000BB"/>
      <name val="Arial"/>
      <charset val="1"/>
    </font>
    <font>
      <i/>
      <sz val="8"/>
      <color rgb="FF666666"/>
      <name val="Arial"/>
      <charset val="1"/>
    </font>
    <font>
      <b/>
      <sz val="8"/>
      <color rgb="FF4A6870"/>
      <name val="Arial"/>
      <charset val="1"/>
    </font>
    <font>
      <b/>
      <sz val="8"/>
      <color rgb="FF3D6480"/>
      <name val="Arial"/>
      <charset val="1"/>
    </font>
    <font>
      <b/>
      <sz val="8"/>
      <color rgb="FF4A6B4A"/>
      <name val="Arial"/>
      <charset val="1"/>
    </font>
    <font>
      <b/>
      <sz val="8"/>
      <color rgb="FF5A3D20"/>
      <name val="Arial"/>
      <charset val="1"/>
    </font>
    <font>
      <b/>
      <sz val="8"/>
      <color rgb="FF7A5A3A"/>
      <name val="Arial"/>
      <charset val="1"/>
    </font>
    <font>
      <b/>
      <sz val="8"/>
      <color rgb="FF6B5A3A"/>
      <name val="Arial"/>
      <charset val="1"/>
    </font>
    <font>
      <b/>
      <sz val="8"/>
      <color rgb="FF3A5A6B"/>
      <name val="Arial"/>
      <charset val="1"/>
    </font>
    <font>
      <b/>
      <sz val="8"/>
      <color rgb="FF6B3A3A"/>
      <name val="Arial"/>
      <charset val="1"/>
    </font>
    <font>
      <b/>
      <sz val="8"/>
      <color rgb="FF5A4A6B"/>
      <name val="Arial"/>
      <charset val="1"/>
    </font>
    <font>
      <b/>
      <sz val="8"/>
      <color rgb="FF4A5A3A"/>
      <name val="Arial"/>
      <charset val="1"/>
    </font>
    <font>
      <b/>
      <sz val="9"/>
      <color rgb="FF1C1409"/>
      <name val="Arial"/>
      <charset val="1"/>
    </font>
    <font>
      <b/>
      <sz val="11"/>
      <color rgb="FF0000BB"/>
      <name val="Arial"/>
      <charset val="1"/>
    </font>
    <font>
      <b/>
      <sz val="11"/>
      <color rgb="FFFFFFFF"/>
      <name val="Arial"/>
      <charset val="1"/>
    </font>
    <font>
      <b/>
      <sz val="12"/>
      <color rgb="FFC8A96E"/>
      <name val="Arial"/>
      <charset val="1"/>
    </font>
    <font>
      <b/>
      <sz val="14"/>
      <color rgb="FFFFFFFF"/>
      <name val="Arial"/>
      <charset val="1"/>
    </font>
    <font>
      <i/>
      <sz val="9"/>
      <color rgb="FF8B7355"/>
      <name val="Arial"/>
      <charset val="1"/>
    </font>
    <font>
      <b/>
      <sz val="10"/>
      <color rgb="FF1C1409"/>
      <name val="Arial"/>
      <charset val="1"/>
    </font>
    <font>
      <b/>
      <sz val="12"/>
      <color rgb="FFFFFFFF"/>
      <name val="Arial"/>
      <charset val="1"/>
    </font>
    <font>
      <b/>
      <sz val="15"/>
      <color rgb="FFC8A96E"/>
      <name val="Arial"/>
      <charset val="1"/>
    </font>
    <font>
      <b/>
      <sz val="13"/>
      <color rgb="FF7A6040"/>
      <name val="Arial"/>
      <charset val="1"/>
    </font>
    <font>
      <sz val="10"/>
      <color rgb="FF1C1409"/>
      <name val="Arial"/>
      <charset val="1"/>
    </font>
    <font>
      <i/>
      <sz val="8"/>
      <color rgb="FF0000BB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1C1409"/>
        <bgColor rgb="FF000000"/>
      </patternFill>
    </fill>
    <fill>
      <patternFill patternType="solid">
        <fgColor rgb="FFF5F0E8"/>
        <bgColor rgb="FFF5EFE6"/>
      </patternFill>
    </fill>
    <fill>
      <patternFill patternType="solid">
        <fgColor rgb="FFFFFAE8"/>
        <bgColor rgb="FFFFFAE0"/>
      </patternFill>
    </fill>
    <fill>
      <patternFill patternType="solid">
        <fgColor rgb="FF7A6040"/>
        <bgColor rgb="FF7A5A3A"/>
      </patternFill>
    </fill>
    <fill>
      <patternFill patternType="solid">
        <fgColor rgb="FFF5EDE0"/>
        <bgColor rgb="FFF5EFE6"/>
      </patternFill>
    </fill>
    <fill>
      <patternFill patternType="solid">
        <fgColor rgb="FFFFFAE0"/>
        <bgColor rgb="FFFFFAE8"/>
      </patternFill>
    </fill>
    <fill>
      <patternFill patternType="solid">
        <fgColor rgb="FFF8F8F8"/>
        <bgColor rgb="FFFFFAE8"/>
      </patternFill>
    </fill>
    <fill>
      <patternFill patternType="solid">
        <fgColor rgb="FF4A6870"/>
        <bgColor rgb="FF3D6480"/>
      </patternFill>
    </fill>
    <fill>
      <patternFill patternType="solid">
        <fgColor rgb="FFE8F0F5"/>
        <bgColor rgb="FFE5EFF7"/>
      </patternFill>
    </fill>
    <fill>
      <patternFill patternType="solid">
        <fgColor rgb="FF3D6480"/>
        <bgColor rgb="FF4A6870"/>
      </patternFill>
    </fill>
    <fill>
      <patternFill patternType="solid">
        <fgColor rgb="FFE5EFF7"/>
        <bgColor rgb="FFE5EEF5"/>
      </patternFill>
    </fill>
    <fill>
      <patternFill patternType="solid">
        <fgColor rgb="FF4A6B4A"/>
        <bgColor rgb="FF4A6870"/>
      </patternFill>
    </fill>
    <fill>
      <patternFill patternType="solid">
        <fgColor rgb="FFE8F2E8"/>
        <bgColor rgb="FFE8F0E5"/>
      </patternFill>
    </fill>
    <fill>
      <patternFill patternType="solid">
        <fgColor rgb="FF5A3D20"/>
        <bgColor rgb="FF6B3A3A"/>
      </patternFill>
    </fill>
    <fill>
      <patternFill patternType="solid">
        <fgColor rgb="FFF0E8DC"/>
        <bgColor rgb="FFF2EAE0"/>
      </patternFill>
    </fill>
    <fill>
      <patternFill patternType="solid">
        <fgColor rgb="FF7A5A3A"/>
        <bgColor rgb="FF7A6040"/>
      </patternFill>
    </fill>
    <fill>
      <patternFill patternType="solid">
        <fgColor rgb="FF6B5A3A"/>
        <bgColor rgb="FF7A5A3A"/>
      </patternFill>
    </fill>
    <fill>
      <patternFill patternType="solid">
        <fgColor rgb="FFF2EAE0"/>
        <bgColor rgb="FFF0E8DC"/>
      </patternFill>
    </fill>
    <fill>
      <patternFill patternType="solid">
        <fgColor rgb="FF3A5A6B"/>
        <bgColor rgb="FF3D6480"/>
      </patternFill>
    </fill>
    <fill>
      <patternFill patternType="solid">
        <fgColor rgb="FFE5EEF5"/>
        <bgColor rgb="FFE5EFF7"/>
      </patternFill>
    </fill>
    <fill>
      <patternFill patternType="solid">
        <fgColor rgb="FF6B3A3A"/>
        <bgColor rgb="FF5A3D20"/>
      </patternFill>
    </fill>
    <fill>
      <patternFill patternType="solid">
        <fgColor rgb="FFF5E5E5"/>
        <bgColor rgb="FFF5E8E8"/>
      </patternFill>
    </fill>
    <fill>
      <patternFill patternType="solid">
        <fgColor rgb="FF5A4A6B"/>
        <bgColor rgb="FF3A5A6B"/>
      </patternFill>
    </fill>
    <fill>
      <patternFill patternType="solid">
        <fgColor rgb="FFEEE8F5"/>
        <bgColor rgb="FFF5E8E8"/>
      </patternFill>
    </fill>
    <fill>
      <patternFill patternType="solid">
        <fgColor rgb="FF4A5A3A"/>
        <bgColor rgb="FF4A6B4A"/>
      </patternFill>
    </fill>
    <fill>
      <patternFill patternType="solid">
        <fgColor rgb="FFE8F0E5"/>
        <bgColor rgb="FFE8F2E8"/>
      </patternFill>
    </fill>
    <fill>
      <patternFill patternType="solid">
        <fgColor rgb="FFF5EFE6"/>
        <bgColor rgb="FFF5F0E8"/>
      </patternFill>
    </fill>
    <fill>
      <patternFill patternType="solid">
        <fgColor rgb="FFEBF1F7"/>
        <bgColor rgb="FFE8F0F5"/>
      </patternFill>
    </fill>
    <fill>
      <patternFill patternType="solid">
        <fgColor rgb="FFF5E8E8"/>
        <bgColor rgb="FFF5E5E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CC"/>
      </left>
      <right style="medium">
        <color rgb="FF0000CC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3" fontId="9" fillId="7" borderId="2" xfId="0" applyNumberFormat="1" applyFont="1" applyFill="1" applyBorder="1" applyAlignment="1">
      <alignment horizontal="right" vertical="center"/>
    </xf>
    <xf numFmtId="165" fontId="8" fillId="6" borderId="0" xfId="0" applyNumberFormat="1" applyFont="1" applyFill="1" applyAlignment="1">
      <alignment horizontal="right" vertical="center"/>
    </xf>
    <xf numFmtId="166" fontId="8" fillId="6" borderId="0" xfId="0" applyNumberFormat="1" applyFont="1" applyFill="1" applyAlignment="1">
      <alignment horizontal="right" vertical="center"/>
    </xf>
    <xf numFmtId="167" fontId="8" fillId="6" borderId="0" xfId="0" applyNumberFormat="1" applyFont="1" applyFill="1" applyAlignment="1">
      <alignment horizontal="right" vertical="center"/>
    </xf>
    <xf numFmtId="0" fontId="10" fillId="6" borderId="0" xfId="0" applyFont="1" applyFill="1"/>
    <xf numFmtId="0" fontId="0" fillId="8" borderId="0" xfId="0" applyFill="1"/>
    <xf numFmtId="0" fontId="11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165" fontId="8" fillId="10" borderId="0" xfId="0" applyNumberFormat="1" applyFont="1" applyFill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7" fontId="8" fillId="10" borderId="0" xfId="0" applyNumberFormat="1" applyFont="1" applyFill="1" applyAlignment="1">
      <alignment horizontal="right" vertical="center"/>
    </xf>
    <xf numFmtId="0" fontId="10" fillId="10" borderId="0" xfId="0" applyFont="1" applyFill="1"/>
    <xf numFmtId="0" fontId="12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center" vertical="center"/>
    </xf>
    <xf numFmtId="164" fontId="8" fillId="12" borderId="0" xfId="0" applyNumberFormat="1" applyFont="1" applyFill="1" applyAlignment="1">
      <alignment horizontal="center" vertical="center"/>
    </xf>
    <xf numFmtId="165" fontId="8" fillId="12" borderId="0" xfId="0" applyNumberFormat="1" applyFont="1" applyFill="1" applyAlignment="1">
      <alignment horizontal="right" vertical="center"/>
    </xf>
    <xf numFmtId="166" fontId="8" fillId="12" borderId="0" xfId="0" applyNumberFormat="1" applyFont="1" applyFill="1" applyAlignment="1">
      <alignment horizontal="right" vertical="center"/>
    </xf>
    <xf numFmtId="167" fontId="8" fillId="12" borderId="0" xfId="0" applyNumberFormat="1" applyFont="1" applyFill="1" applyAlignment="1">
      <alignment horizontal="right" vertical="center"/>
    </xf>
    <xf numFmtId="0" fontId="10" fillId="12" borderId="0" xfId="0" applyFont="1" applyFill="1"/>
    <xf numFmtId="0" fontId="13" fillId="14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center" vertical="center"/>
    </xf>
    <xf numFmtId="164" fontId="8" fillId="14" borderId="0" xfId="0" applyNumberFormat="1" applyFont="1" applyFill="1" applyAlignment="1">
      <alignment horizontal="center" vertical="center"/>
    </xf>
    <xf numFmtId="165" fontId="8" fillId="14" borderId="0" xfId="0" applyNumberFormat="1" applyFont="1" applyFill="1" applyAlignment="1">
      <alignment horizontal="right" vertical="center"/>
    </xf>
    <xf numFmtId="166" fontId="8" fillId="14" borderId="0" xfId="0" applyNumberFormat="1" applyFont="1" applyFill="1" applyAlignment="1">
      <alignment horizontal="right" vertical="center"/>
    </xf>
    <xf numFmtId="167" fontId="8" fillId="14" borderId="0" xfId="0" applyNumberFormat="1" applyFont="1" applyFill="1" applyAlignment="1">
      <alignment horizontal="right" vertical="center"/>
    </xf>
    <xf numFmtId="0" fontId="10" fillId="14" borderId="0" xfId="0" applyFont="1" applyFill="1"/>
    <xf numFmtId="0" fontId="14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left" vertical="center" wrapText="1"/>
    </xf>
    <xf numFmtId="0" fontId="8" fillId="16" borderId="0" xfId="0" applyFont="1" applyFill="1" applyAlignment="1">
      <alignment horizontal="center" vertical="center"/>
    </xf>
    <xf numFmtId="164" fontId="8" fillId="16" borderId="0" xfId="0" applyNumberFormat="1" applyFont="1" applyFill="1" applyAlignment="1">
      <alignment horizontal="center" vertical="center"/>
    </xf>
    <xf numFmtId="165" fontId="8" fillId="16" borderId="0" xfId="0" applyNumberFormat="1" applyFont="1" applyFill="1" applyAlignment="1">
      <alignment horizontal="right" vertical="center"/>
    </xf>
    <xf numFmtId="166" fontId="8" fillId="16" borderId="0" xfId="0" applyNumberFormat="1" applyFont="1" applyFill="1" applyAlignment="1">
      <alignment horizontal="right" vertical="center"/>
    </xf>
    <xf numFmtId="167" fontId="8" fillId="16" borderId="0" xfId="0" applyNumberFormat="1" applyFont="1" applyFill="1" applyAlignment="1">
      <alignment horizontal="right" vertical="center"/>
    </xf>
    <xf numFmtId="0" fontId="10" fillId="16" borderId="0" xfId="0" applyFont="1" applyFill="1"/>
    <xf numFmtId="0" fontId="15" fillId="6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left" vertical="center" wrapText="1"/>
    </xf>
    <xf numFmtId="0" fontId="8" fillId="19" borderId="0" xfId="0" applyFont="1" applyFill="1" applyAlignment="1">
      <alignment horizontal="center" vertical="center"/>
    </xf>
    <xf numFmtId="164" fontId="8" fillId="19" borderId="0" xfId="0" applyNumberFormat="1" applyFont="1" applyFill="1" applyAlignment="1">
      <alignment horizontal="center" vertical="center"/>
    </xf>
    <xf numFmtId="165" fontId="8" fillId="19" borderId="0" xfId="0" applyNumberFormat="1" applyFont="1" applyFill="1" applyAlignment="1">
      <alignment horizontal="right" vertical="center"/>
    </xf>
    <xf numFmtId="166" fontId="8" fillId="19" borderId="0" xfId="0" applyNumberFormat="1" applyFont="1" applyFill="1" applyAlignment="1">
      <alignment horizontal="right" vertical="center"/>
    </xf>
    <xf numFmtId="167" fontId="8" fillId="19" borderId="0" xfId="0" applyNumberFormat="1" applyFont="1" applyFill="1" applyAlignment="1">
      <alignment horizontal="right" vertical="center"/>
    </xf>
    <xf numFmtId="0" fontId="10" fillId="19" borderId="0" xfId="0" applyFont="1" applyFill="1"/>
    <xf numFmtId="0" fontId="17" fillId="21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left" vertical="center" wrapText="1"/>
    </xf>
    <xf numFmtId="0" fontId="8" fillId="21" borderId="0" xfId="0" applyFont="1" applyFill="1" applyAlignment="1">
      <alignment horizontal="center" vertical="center"/>
    </xf>
    <xf numFmtId="164" fontId="8" fillId="21" borderId="0" xfId="0" applyNumberFormat="1" applyFont="1" applyFill="1" applyAlignment="1">
      <alignment horizontal="center" vertical="center"/>
    </xf>
    <xf numFmtId="165" fontId="8" fillId="21" borderId="0" xfId="0" applyNumberFormat="1" applyFont="1" applyFill="1" applyAlignment="1">
      <alignment horizontal="right" vertical="center"/>
    </xf>
    <xf numFmtId="166" fontId="8" fillId="21" borderId="0" xfId="0" applyNumberFormat="1" applyFont="1" applyFill="1" applyAlignment="1">
      <alignment horizontal="right" vertical="center"/>
    </xf>
    <xf numFmtId="167" fontId="8" fillId="21" borderId="0" xfId="0" applyNumberFormat="1" applyFont="1" applyFill="1" applyAlignment="1">
      <alignment horizontal="right" vertical="center"/>
    </xf>
    <xf numFmtId="0" fontId="10" fillId="21" borderId="0" xfId="0" applyFont="1" applyFill="1"/>
    <xf numFmtId="0" fontId="18" fillId="23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left" vertical="center" wrapText="1"/>
    </xf>
    <xf numFmtId="0" fontId="8" fillId="23" borderId="0" xfId="0" applyFont="1" applyFill="1" applyAlignment="1">
      <alignment horizontal="center" vertical="center"/>
    </xf>
    <xf numFmtId="164" fontId="8" fillId="23" borderId="0" xfId="0" applyNumberFormat="1" applyFont="1" applyFill="1" applyAlignment="1">
      <alignment horizontal="center" vertical="center"/>
    </xf>
    <xf numFmtId="165" fontId="8" fillId="23" borderId="0" xfId="0" applyNumberFormat="1" applyFont="1" applyFill="1" applyAlignment="1">
      <alignment horizontal="right" vertical="center"/>
    </xf>
    <xf numFmtId="166" fontId="8" fillId="23" borderId="0" xfId="0" applyNumberFormat="1" applyFont="1" applyFill="1" applyAlignment="1">
      <alignment horizontal="right" vertical="center"/>
    </xf>
    <xf numFmtId="167" fontId="8" fillId="23" borderId="0" xfId="0" applyNumberFormat="1" applyFont="1" applyFill="1" applyAlignment="1">
      <alignment horizontal="right" vertical="center"/>
    </xf>
    <xf numFmtId="0" fontId="10" fillId="23" borderId="0" xfId="0" applyFont="1" applyFill="1"/>
    <xf numFmtId="0" fontId="19" fillId="25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left" vertical="center" wrapText="1"/>
    </xf>
    <xf numFmtId="0" fontId="8" fillId="25" borderId="0" xfId="0" applyFont="1" applyFill="1" applyAlignment="1">
      <alignment horizontal="center" vertical="center"/>
    </xf>
    <xf numFmtId="164" fontId="8" fillId="25" borderId="0" xfId="0" applyNumberFormat="1" applyFont="1" applyFill="1" applyAlignment="1">
      <alignment horizontal="center" vertical="center"/>
    </xf>
    <xf numFmtId="165" fontId="8" fillId="25" borderId="0" xfId="0" applyNumberFormat="1" applyFont="1" applyFill="1" applyAlignment="1">
      <alignment horizontal="right" vertical="center"/>
    </xf>
    <xf numFmtId="166" fontId="8" fillId="25" borderId="0" xfId="0" applyNumberFormat="1" applyFont="1" applyFill="1" applyAlignment="1">
      <alignment horizontal="right" vertical="center"/>
    </xf>
    <xf numFmtId="167" fontId="8" fillId="25" borderId="0" xfId="0" applyNumberFormat="1" applyFont="1" applyFill="1" applyAlignment="1">
      <alignment horizontal="right" vertical="center"/>
    </xf>
    <xf numFmtId="0" fontId="10" fillId="25" borderId="0" xfId="0" applyFont="1" applyFill="1"/>
    <xf numFmtId="0" fontId="20" fillId="27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left" vertical="center" wrapText="1"/>
    </xf>
    <xf numFmtId="0" fontId="8" fillId="27" borderId="0" xfId="0" applyFont="1" applyFill="1" applyAlignment="1">
      <alignment horizontal="center" vertical="center"/>
    </xf>
    <xf numFmtId="164" fontId="8" fillId="27" borderId="0" xfId="0" applyNumberFormat="1" applyFont="1" applyFill="1" applyAlignment="1">
      <alignment horizontal="center" vertical="center"/>
    </xf>
    <xf numFmtId="165" fontId="8" fillId="27" borderId="0" xfId="0" applyNumberFormat="1" applyFont="1" applyFill="1" applyAlignment="1">
      <alignment horizontal="right" vertical="center"/>
    </xf>
    <xf numFmtId="166" fontId="8" fillId="27" borderId="0" xfId="0" applyNumberFormat="1" applyFont="1" applyFill="1" applyAlignment="1">
      <alignment horizontal="right" vertical="center"/>
    </xf>
    <xf numFmtId="167" fontId="8" fillId="27" borderId="0" xfId="0" applyNumberFormat="1" applyFont="1" applyFill="1" applyAlignment="1">
      <alignment horizontal="right" vertical="center"/>
    </xf>
    <xf numFmtId="0" fontId="10" fillId="27" borderId="0" xfId="0" applyFont="1" applyFill="1"/>
    <xf numFmtId="0" fontId="21" fillId="3" borderId="0" xfId="0" applyFont="1" applyFill="1"/>
    <xf numFmtId="3" fontId="22" fillId="7" borderId="2" xfId="0" applyNumberFormat="1" applyFont="1" applyFill="1" applyBorder="1" applyAlignment="1">
      <alignment horizontal="center" vertical="center"/>
    </xf>
    <xf numFmtId="168" fontId="22" fillId="7" borderId="2" xfId="0" applyNumberFormat="1" applyFont="1" applyFill="1" applyBorder="1" applyAlignment="1">
      <alignment horizontal="center" vertical="center"/>
    </xf>
    <xf numFmtId="169" fontId="22" fillId="7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8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center" vertical="center"/>
    </xf>
    <xf numFmtId="4" fontId="9" fillId="7" borderId="2" xfId="0" applyNumberFormat="1" applyFont="1" applyFill="1" applyBorder="1" applyAlignment="1">
      <alignment horizontal="center" vertical="center"/>
    </xf>
    <xf numFmtId="169" fontId="0" fillId="6" borderId="0" xfId="0" applyNumberFormat="1" applyFill="1" applyAlignment="1">
      <alignment horizontal="right" vertical="center"/>
    </xf>
    <xf numFmtId="166" fontId="0" fillId="6" borderId="0" xfId="0" applyNumberFormat="1" applyFill="1" applyAlignment="1">
      <alignment horizontal="right" vertical="center"/>
    </xf>
    <xf numFmtId="166" fontId="21" fillId="6" borderId="0" xfId="0" applyNumberFormat="1" applyFont="1" applyFill="1" applyAlignment="1">
      <alignment horizontal="right" vertical="center"/>
    </xf>
    <xf numFmtId="0" fontId="8" fillId="10" borderId="0" xfId="0" applyFont="1" applyFill="1" applyAlignment="1">
      <alignment horizontal="left" vertical="center" wrapText="1"/>
    </xf>
    <xf numFmtId="0" fontId="0" fillId="10" borderId="0" xfId="0" applyFill="1" applyAlignment="1">
      <alignment horizontal="center" vertical="center"/>
    </xf>
    <xf numFmtId="169" fontId="0" fillId="10" borderId="0" xfId="0" applyNumberFormat="1" applyFill="1" applyAlignment="1">
      <alignment horizontal="right" vertical="center"/>
    </xf>
    <xf numFmtId="166" fontId="0" fillId="10" borderId="0" xfId="0" applyNumberFormat="1" applyFill="1" applyAlignment="1">
      <alignment horizontal="right" vertical="center"/>
    </xf>
    <xf numFmtId="166" fontId="21" fillId="10" borderId="0" xfId="0" applyNumberFormat="1" applyFont="1" applyFill="1" applyAlignment="1">
      <alignment horizontal="right" vertical="center"/>
    </xf>
    <xf numFmtId="0" fontId="8" fillId="12" borderId="0" xfId="0" applyFont="1" applyFill="1" applyAlignment="1">
      <alignment horizontal="left" vertical="center" wrapText="1"/>
    </xf>
    <xf numFmtId="0" fontId="0" fillId="12" borderId="0" xfId="0" applyFill="1" applyAlignment="1">
      <alignment horizontal="center" vertical="center"/>
    </xf>
    <xf numFmtId="169" fontId="0" fillId="12" borderId="0" xfId="0" applyNumberFormat="1" applyFill="1" applyAlignment="1">
      <alignment horizontal="right" vertical="center"/>
    </xf>
    <xf numFmtId="166" fontId="0" fillId="12" borderId="0" xfId="0" applyNumberFormat="1" applyFill="1" applyAlignment="1">
      <alignment horizontal="right" vertical="center"/>
    </xf>
    <xf numFmtId="166" fontId="21" fillId="12" borderId="0" xfId="0" applyNumberFormat="1" applyFont="1" applyFill="1" applyAlignment="1">
      <alignment horizontal="right" vertical="center"/>
    </xf>
    <xf numFmtId="0" fontId="8" fillId="14" borderId="0" xfId="0" applyFont="1" applyFill="1" applyAlignment="1">
      <alignment horizontal="left" vertical="center" wrapText="1"/>
    </xf>
    <xf numFmtId="0" fontId="0" fillId="14" borderId="0" xfId="0" applyFill="1" applyAlignment="1">
      <alignment horizontal="center" vertical="center"/>
    </xf>
    <xf numFmtId="169" fontId="0" fillId="14" borderId="0" xfId="0" applyNumberFormat="1" applyFill="1" applyAlignment="1">
      <alignment horizontal="right" vertical="center"/>
    </xf>
    <xf numFmtId="166" fontId="0" fillId="14" borderId="0" xfId="0" applyNumberFormat="1" applyFill="1" applyAlignment="1">
      <alignment horizontal="right" vertical="center"/>
    </xf>
    <xf numFmtId="166" fontId="21" fillId="14" borderId="0" xfId="0" applyNumberFormat="1" applyFont="1" applyFill="1" applyAlignment="1">
      <alignment horizontal="right" vertical="center"/>
    </xf>
    <xf numFmtId="0" fontId="8" fillId="16" borderId="0" xfId="0" applyFont="1" applyFill="1" applyAlignment="1">
      <alignment horizontal="left" vertical="center" wrapText="1"/>
    </xf>
    <xf numFmtId="0" fontId="0" fillId="16" borderId="0" xfId="0" applyFill="1" applyAlignment="1">
      <alignment horizontal="center" vertical="center"/>
    </xf>
    <xf numFmtId="169" fontId="0" fillId="16" borderId="0" xfId="0" applyNumberFormat="1" applyFill="1" applyAlignment="1">
      <alignment horizontal="right" vertical="center"/>
    </xf>
    <xf numFmtId="166" fontId="0" fillId="16" borderId="0" xfId="0" applyNumberFormat="1" applyFill="1" applyAlignment="1">
      <alignment horizontal="right" vertical="center"/>
    </xf>
    <xf numFmtId="166" fontId="21" fillId="16" borderId="0" xfId="0" applyNumberFormat="1" applyFont="1" applyFill="1" applyAlignment="1">
      <alignment horizontal="right" vertical="center"/>
    </xf>
    <xf numFmtId="0" fontId="8" fillId="19" borderId="0" xfId="0" applyFont="1" applyFill="1" applyAlignment="1">
      <alignment horizontal="left" vertical="center" wrapText="1"/>
    </xf>
    <xf numFmtId="0" fontId="0" fillId="19" borderId="0" xfId="0" applyFill="1" applyAlignment="1">
      <alignment horizontal="center" vertical="center"/>
    </xf>
    <xf numFmtId="169" fontId="0" fillId="19" borderId="0" xfId="0" applyNumberFormat="1" applyFill="1" applyAlignment="1">
      <alignment horizontal="right" vertical="center"/>
    </xf>
    <xf numFmtId="166" fontId="0" fillId="19" borderId="0" xfId="0" applyNumberFormat="1" applyFill="1" applyAlignment="1">
      <alignment horizontal="right" vertical="center"/>
    </xf>
    <xf numFmtId="166" fontId="21" fillId="19" borderId="0" xfId="0" applyNumberFormat="1" applyFont="1" applyFill="1" applyAlignment="1">
      <alignment horizontal="right" vertical="center"/>
    </xf>
    <xf numFmtId="0" fontId="8" fillId="21" borderId="0" xfId="0" applyFont="1" applyFill="1" applyAlignment="1">
      <alignment horizontal="left" vertical="center" wrapText="1"/>
    </xf>
    <xf numFmtId="0" fontId="0" fillId="21" borderId="0" xfId="0" applyFill="1" applyAlignment="1">
      <alignment horizontal="center" vertical="center"/>
    </xf>
    <xf numFmtId="169" fontId="0" fillId="21" borderId="0" xfId="0" applyNumberFormat="1" applyFill="1" applyAlignment="1">
      <alignment horizontal="right" vertical="center"/>
    </xf>
    <xf numFmtId="166" fontId="0" fillId="21" borderId="0" xfId="0" applyNumberFormat="1" applyFill="1" applyAlignment="1">
      <alignment horizontal="right" vertical="center"/>
    </xf>
    <xf numFmtId="166" fontId="21" fillId="21" borderId="0" xfId="0" applyNumberFormat="1" applyFont="1" applyFill="1" applyAlignment="1">
      <alignment horizontal="right" vertical="center"/>
    </xf>
    <xf numFmtId="0" fontId="8" fillId="23" borderId="0" xfId="0" applyFont="1" applyFill="1" applyAlignment="1">
      <alignment horizontal="left" vertical="center" wrapText="1"/>
    </xf>
    <xf numFmtId="0" fontId="0" fillId="23" borderId="0" xfId="0" applyFill="1" applyAlignment="1">
      <alignment horizontal="center" vertical="center"/>
    </xf>
    <xf numFmtId="169" fontId="0" fillId="23" borderId="0" xfId="0" applyNumberFormat="1" applyFill="1" applyAlignment="1">
      <alignment horizontal="right" vertical="center"/>
    </xf>
    <xf numFmtId="166" fontId="0" fillId="23" borderId="0" xfId="0" applyNumberFormat="1" applyFill="1" applyAlignment="1">
      <alignment horizontal="right" vertical="center"/>
    </xf>
    <xf numFmtId="166" fontId="21" fillId="23" borderId="0" xfId="0" applyNumberFormat="1" applyFont="1" applyFill="1" applyAlignment="1">
      <alignment horizontal="right" vertical="center"/>
    </xf>
    <xf numFmtId="0" fontId="8" fillId="25" borderId="0" xfId="0" applyFont="1" applyFill="1" applyAlignment="1">
      <alignment horizontal="left" vertical="center" wrapText="1"/>
    </xf>
    <xf numFmtId="0" fontId="0" fillId="25" borderId="0" xfId="0" applyFill="1" applyAlignment="1">
      <alignment horizontal="center" vertical="center"/>
    </xf>
    <xf numFmtId="169" fontId="0" fillId="25" borderId="0" xfId="0" applyNumberFormat="1" applyFill="1" applyAlignment="1">
      <alignment horizontal="right" vertical="center"/>
    </xf>
    <xf numFmtId="166" fontId="0" fillId="25" borderId="0" xfId="0" applyNumberFormat="1" applyFill="1" applyAlignment="1">
      <alignment horizontal="right" vertical="center"/>
    </xf>
    <xf numFmtId="166" fontId="21" fillId="25" borderId="0" xfId="0" applyNumberFormat="1" applyFont="1" applyFill="1" applyAlignment="1">
      <alignment horizontal="right" vertical="center"/>
    </xf>
    <xf numFmtId="0" fontId="8" fillId="27" borderId="0" xfId="0" applyFont="1" applyFill="1" applyAlignment="1">
      <alignment horizontal="left" vertical="center" wrapText="1"/>
    </xf>
    <xf numFmtId="0" fontId="0" fillId="27" borderId="0" xfId="0" applyFill="1" applyAlignment="1">
      <alignment horizontal="center" vertical="center"/>
    </xf>
    <xf numFmtId="169" fontId="0" fillId="27" borderId="0" xfId="0" applyNumberFormat="1" applyFill="1" applyAlignment="1">
      <alignment horizontal="right" vertical="center"/>
    </xf>
    <xf numFmtId="166" fontId="0" fillId="27" borderId="0" xfId="0" applyNumberFormat="1" applyFill="1" applyAlignment="1">
      <alignment horizontal="right" vertical="center"/>
    </xf>
    <xf numFmtId="166" fontId="21" fillId="27" borderId="0" xfId="0" applyNumberFormat="1" applyFont="1" applyFill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0" fontId="0" fillId="2" borderId="0" xfId="0" applyFill="1"/>
    <xf numFmtId="169" fontId="24" fillId="2" borderId="0" xfId="0" applyNumberFormat="1" applyFont="1" applyFill="1" applyAlignment="1">
      <alignment horizontal="right" vertical="center"/>
    </xf>
    <xf numFmtId="166" fontId="24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left" vertical="center" wrapText="1"/>
    </xf>
    <xf numFmtId="167" fontId="27" fillId="28" borderId="0" xfId="0" applyNumberFormat="1" applyFont="1" applyFill="1" applyAlignment="1">
      <alignment horizontal="right" vertical="center"/>
    </xf>
    <xf numFmtId="166" fontId="27" fillId="28" borderId="0" xfId="0" applyNumberFormat="1" applyFont="1" applyFill="1" applyAlignment="1">
      <alignment horizontal="right" vertical="center"/>
    </xf>
    <xf numFmtId="170" fontId="8" fillId="28" borderId="0" xfId="0" applyNumberFormat="1" applyFont="1" applyFill="1" applyAlignment="1">
      <alignment horizontal="center" vertical="center"/>
    </xf>
    <xf numFmtId="0" fontId="27" fillId="29" borderId="0" xfId="0" applyFont="1" applyFill="1" applyAlignment="1">
      <alignment horizontal="left" vertical="center" wrapText="1"/>
    </xf>
    <xf numFmtId="167" fontId="27" fillId="29" borderId="0" xfId="0" applyNumberFormat="1" applyFont="1" applyFill="1" applyAlignment="1">
      <alignment horizontal="right" vertical="center"/>
    </xf>
    <xf numFmtId="166" fontId="27" fillId="29" borderId="0" xfId="0" applyNumberFormat="1" applyFont="1" applyFill="1" applyAlignment="1">
      <alignment horizontal="right" vertical="center"/>
    </xf>
    <xf numFmtId="170" fontId="8" fillId="29" borderId="0" xfId="0" applyNumberFormat="1" applyFont="1" applyFill="1" applyAlignment="1">
      <alignment horizontal="center" vertical="center"/>
    </xf>
    <xf numFmtId="0" fontId="27" fillId="30" borderId="0" xfId="0" applyFont="1" applyFill="1" applyAlignment="1">
      <alignment horizontal="left" vertical="center" wrapText="1"/>
    </xf>
    <xf numFmtId="167" fontId="27" fillId="30" borderId="0" xfId="0" applyNumberFormat="1" applyFont="1" applyFill="1" applyAlignment="1">
      <alignment horizontal="right" vertical="center"/>
    </xf>
    <xf numFmtId="166" fontId="27" fillId="30" borderId="0" xfId="0" applyNumberFormat="1" applyFont="1" applyFill="1" applyAlignment="1">
      <alignment horizontal="right" vertical="center"/>
    </xf>
    <xf numFmtId="170" fontId="8" fillId="30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167" fontId="29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left" vertical="center"/>
    </xf>
    <xf numFmtId="167" fontId="30" fillId="28" borderId="0" xfId="0" applyNumberFormat="1" applyFont="1" applyFill="1" applyAlignment="1">
      <alignment horizontal="right" vertical="center"/>
    </xf>
    <xf numFmtId="166" fontId="31" fillId="28" borderId="0" xfId="0" applyNumberFormat="1" applyFont="1" applyFill="1" applyAlignment="1">
      <alignment horizontal="right" vertical="center"/>
    </xf>
    <xf numFmtId="0" fontId="9" fillId="7" borderId="2" xfId="0" applyFont="1" applyFill="1" applyBorder="1" applyAlignment="1">
      <alignment horizontal="center" vertical="center"/>
    </xf>
    <xf numFmtId="0" fontId="32" fillId="0" borderId="0" xfId="0" applyFont="1"/>
    <xf numFmtId="0" fontId="27" fillId="16" borderId="0" xfId="0" applyFont="1" applyFill="1" applyAlignment="1">
      <alignment horizontal="left" vertical="center"/>
    </xf>
    <xf numFmtId="167" fontId="30" fillId="16" borderId="0" xfId="0" applyNumberFormat="1" applyFont="1" applyFill="1" applyAlignment="1">
      <alignment horizontal="right" vertical="center"/>
    </xf>
    <xf numFmtId="166" fontId="31" fillId="16" borderId="0" xfId="0" applyNumberFormat="1" applyFont="1" applyFill="1" applyAlignment="1">
      <alignment horizontal="right" vertical="center"/>
    </xf>
    <xf numFmtId="0" fontId="27" fillId="21" borderId="0" xfId="0" applyFont="1" applyFill="1" applyAlignment="1">
      <alignment horizontal="left" vertical="center"/>
    </xf>
    <xf numFmtId="167" fontId="30" fillId="21" borderId="0" xfId="0" applyNumberFormat="1" applyFont="1" applyFill="1" applyAlignment="1">
      <alignment horizontal="right" vertical="center"/>
    </xf>
    <xf numFmtId="166" fontId="31" fillId="21" borderId="0" xfId="0" applyNumberFormat="1" applyFont="1" applyFill="1" applyAlignment="1">
      <alignment horizontal="right" vertical="center"/>
    </xf>
    <xf numFmtId="0" fontId="8" fillId="3" borderId="0" xfId="0" applyFont="1" applyFill="1"/>
    <xf numFmtId="0" fontId="5" fillId="24" borderId="0" xfId="0" applyFont="1" applyFill="1" applyAlignment="1">
      <alignment horizontal="left" vertical="center"/>
    </xf>
    <xf numFmtId="0" fontId="5" fillId="26" borderId="0" xfId="0" applyFont="1" applyFill="1" applyAlignment="1">
      <alignment horizontal="left" vertical="center"/>
    </xf>
    <xf numFmtId="0" fontId="5" fillId="20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22" borderId="0" xfId="0" applyFont="1" applyFill="1" applyAlignment="1">
      <alignment horizontal="left" vertical="center"/>
    </xf>
    <xf numFmtId="0" fontId="4" fillId="24" borderId="0" xfId="0" applyFont="1" applyFill="1" applyAlignment="1">
      <alignment horizontal="left" vertical="center"/>
    </xf>
    <xf numFmtId="0" fontId="4" fillId="26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2" fillId="4" borderId="0" xfId="0" applyFont="1" applyFill="1"/>
    <xf numFmtId="0" fontId="4" fillId="5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5EDE0"/>
      <rgbColor rgb="FFFF00FF"/>
      <rgbColor rgb="FF00FFFF"/>
      <rgbColor rgb="FF800000"/>
      <rgbColor rgb="FF4A5A3A"/>
      <rgbColor rgb="FF0000BB"/>
      <rgbColor rgb="FF7A6040"/>
      <rgbColor rgb="FF800080"/>
      <rgbColor rgb="FF3D6480"/>
      <rgbColor rgb="FFCCCCCC"/>
      <rgbColor rgb="FF8B7355"/>
      <rgbColor rgb="FFE8F0E5"/>
      <rgbColor rgb="FF6B3A3A"/>
      <rgbColor rgb="FFFFFAE0"/>
      <rgbColor rgb="FFE5EFF7"/>
      <rgbColor rgb="FF660066"/>
      <rgbColor rgb="FFC8A96E"/>
      <rgbColor rgb="FF0066CC"/>
      <rgbColor rgb="FFEEE8F5"/>
      <rgbColor rgb="FF000080"/>
      <rgbColor rgb="FFFF00FF"/>
      <rgbColor rgb="FFF2EAE0"/>
      <rgbColor rgb="FF00FFFF"/>
      <rgbColor rgb="FF800080"/>
      <rgbColor rgb="FF800000"/>
      <rgbColor rgb="FF4A6870"/>
      <rgbColor rgb="FF0000FF"/>
      <rgbColor rgb="FF00CCFF"/>
      <rgbColor rgb="FFE5EEF5"/>
      <rgbColor rgb="FFE8F2E8"/>
      <rgbColor rgb="FFFFFAE8"/>
      <rgbColor rgb="FFE8F0F5"/>
      <rgbColor rgb="FFF5E5E5"/>
      <rgbColor rgb="FFF5E8E8"/>
      <rgbColor rgb="FFF0E8DC"/>
      <rgbColor rgb="FF3366FF"/>
      <rgbColor rgb="FFEBF1F7"/>
      <rgbColor rgb="FFF5F0E8"/>
      <rgbColor rgb="FFF5EFE6"/>
      <rgbColor rgb="FFF8F8F8"/>
      <rgbColor rgb="FFFF6600"/>
      <rgbColor rgb="FF666666"/>
      <rgbColor rgb="FFAAAAAA"/>
      <rgbColor rgb="FF3A5A6B"/>
      <rgbColor rgb="FF4A6B4A"/>
      <rgbColor rgb="FF1C1409"/>
      <rgbColor rgb="FF5A3D20"/>
      <rgbColor rgb="FF6B5A3A"/>
      <rgbColor rgb="FF7A5A3A"/>
      <rgbColor rgb="FF5A4A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zoomScaleNormal="100" workbookViewId="0">
      <pane ySplit="4" topLeftCell="A71" activePane="bottomLeft" state="frozen"/>
      <selection pane="bottomLeft" activeCell="B76" sqref="B76"/>
    </sheetView>
  </sheetViews>
  <sheetFormatPr baseColWidth="10" defaultColWidth="8.7109375" defaultRowHeight="15" x14ac:dyDescent="0.25"/>
  <cols>
    <col min="1" max="1" width="8" customWidth="1"/>
    <col min="2" max="2" width="44" customWidth="1"/>
    <col min="3" max="3" width="10" customWidth="1"/>
    <col min="4" max="4" width="11" customWidth="1"/>
    <col min="5" max="5" width="14" customWidth="1"/>
    <col min="6" max="6" width="13" customWidth="1"/>
    <col min="7" max="7" width="15" customWidth="1"/>
    <col min="8" max="8" width="14" customWidth="1"/>
    <col min="9" max="9" width="28" customWidth="1"/>
  </cols>
  <sheetData>
    <row r="1" spans="1:9" ht="24" customHeight="1" x14ac:dyDescent="0.25">
      <c r="A1" s="183" t="s">
        <v>0</v>
      </c>
      <c r="B1" s="183"/>
      <c r="C1" s="183"/>
      <c r="D1" s="183"/>
      <c r="E1" s="183"/>
      <c r="F1" s="183"/>
      <c r="G1" s="183"/>
      <c r="H1" s="183"/>
      <c r="I1" s="183"/>
    </row>
    <row r="2" spans="1:9" ht="13.5" customHeight="1" x14ac:dyDescent="0.25">
      <c r="A2" s="184" t="s">
        <v>1</v>
      </c>
      <c r="B2" s="184"/>
      <c r="C2" s="184"/>
      <c r="D2" s="184"/>
      <c r="E2" s="184"/>
      <c r="F2" s="184"/>
      <c r="G2" s="184"/>
      <c r="H2" s="184"/>
      <c r="I2" s="184"/>
    </row>
    <row r="3" spans="1:9" ht="13.5" customHeight="1" x14ac:dyDescent="0.25">
      <c r="A3" s="185" t="s">
        <v>2</v>
      </c>
      <c r="B3" s="185"/>
      <c r="C3" s="185"/>
      <c r="D3" s="185"/>
      <c r="E3" s="185"/>
      <c r="F3" s="185"/>
      <c r="G3" s="185"/>
      <c r="H3" s="185"/>
      <c r="I3" s="185"/>
    </row>
    <row r="4" spans="1:9" ht="27.7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18" customHeight="1" x14ac:dyDescent="0.25">
      <c r="A5" s="186" t="s">
        <v>12</v>
      </c>
      <c r="B5" s="186"/>
      <c r="C5" s="186"/>
      <c r="D5" s="186"/>
      <c r="E5" s="186"/>
      <c r="F5" s="186"/>
      <c r="G5" s="186"/>
      <c r="H5" s="186"/>
      <c r="I5" s="186"/>
    </row>
    <row r="6" spans="1:9" ht="15.75" customHeight="1" x14ac:dyDescent="0.25">
      <c r="A6" s="2" t="s">
        <v>13</v>
      </c>
      <c r="B6" s="3" t="s">
        <v>14</v>
      </c>
      <c r="C6" s="4" t="s">
        <v>15</v>
      </c>
      <c r="D6" s="5">
        <v>0.06</v>
      </c>
      <c r="E6" s="6">
        <v>9190</v>
      </c>
      <c r="F6" s="7">
        <f>E6/41.5</f>
        <v>221.44578313253012</v>
      </c>
      <c r="G6" s="8">
        <f>D6*E6*57</f>
        <v>31429.8</v>
      </c>
      <c r="H6" s="9">
        <f>G6/41.5</f>
        <v>757.34457831325301</v>
      </c>
      <c r="I6" s="10" t="s">
        <v>16</v>
      </c>
    </row>
    <row r="7" spans="1:9" ht="15.75" customHeight="1" x14ac:dyDescent="0.25">
      <c r="A7" s="2" t="s">
        <v>13</v>
      </c>
      <c r="B7" s="3" t="s">
        <v>17</v>
      </c>
      <c r="C7" s="4" t="s">
        <v>18</v>
      </c>
      <c r="D7" s="5">
        <v>1.5</v>
      </c>
      <c r="E7" s="6">
        <v>75</v>
      </c>
      <c r="F7" s="7">
        <f>E7/41.5</f>
        <v>1.8072289156626506</v>
      </c>
      <c r="G7" s="8">
        <f>D7*E7*57</f>
        <v>6412.5</v>
      </c>
      <c r="H7" s="9">
        <f>G7/41.5</f>
        <v>154.51807228915663</v>
      </c>
      <c r="I7" s="10" t="s">
        <v>19</v>
      </c>
    </row>
    <row r="8" spans="1:9" ht="15.75" customHeight="1" x14ac:dyDescent="0.25">
      <c r="A8" s="2" t="s">
        <v>13</v>
      </c>
      <c r="B8" s="3" t="s">
        <v>20</v>
      </c>
      <c r="C8" s="4" t="s">
        <v>21</v>
      </c>
      <c r="D8" s="5">
        <v>1</v>
      </c>
      <c r="E8" s="6">
        <v>600</v>
      </c>
      <c r="F8" s="7">
        <f>E8/41.5</f>
        <v>14.457831325301205</v>
      </c>
      <c r="G8" s="8">
        <f>D8*E8*1</f>
        <v>600</v>
      </c>
      <c r="H8" s="9">
        <f>G8/41.5</f>
        <v>14.457831325301205</v>
      </c>
      <c r="I8" s="10" t="s">
        <v>22</v>
      </c>
    </row>
    <row r="9" spans="1:9" ht="4.5" customHeight="1" x14ac:dyDescent="0.25">
      <c r="A9" s="11"/>
      <c r="B9" s="11"/>
      <c r="C9" s="11"/>
      <c r="D9" s="11"/>
      <c r="E9" s="11"/>
      <c r="F9" s="11"/>
      <c r="G9" s="11"/>
      <c r="H9" s="11"/>
      <c r="I9" s="11"/>
    </row>
    <row r="10" spans="1:9" ht="18" customHeight="1" x14ac:dyDescent="0.25">
      <c r="A10" s="186" t="s">
        <v>23</v>
      </c>
      <c r="B10" s="186"/>
      <c r="C10" s="186"/>
      <c r="D10" s="186"/>
      <c r="E10" s="186"/>
      <c r="F10" s="186"/>
      <c r="G10" s="186"/>
      <c r="H10" s="186"/>
      <c r="I10" s="186"/>
    </row>
    <row r="11" spans="1:9" ht="15.75" customHeight="1" x14ac:dyDescent="0.25">
      <c r="A11" s="2" t="s">
        <v>13</v>
      </c>
      <c r="B11" s="3" t="s">
        <v>24</v>
      </c>
      <c r="C11" s="4" t="s">
        <v>25</v>
      </c>
      <c r="D11" s="5">
        <v>1</v>
      </c>
      <c r="E11" s="6">
        <v>912</v>
      </c>
      <c r="F11" s="7">
        <f>E11/41.5</f>
        <v>21.975903614457831</v>
      </c>
      <c r="G11" s="8">
        <f>D11*E11*57</f>
        <v>51984</v>
      </c>
      <c r="H11" s="9">
        <f>G11/41.5</f>
        <v>1252.6265060240964</v>
      </c>
      <c r="I11" s="10" t="s">
        <v>26</v>
      </c>
    </row>
    <row r="12" spans="1:9" ht="15.75" customHeight="1" x14ac:dyDescent="0.25">
      <c r="A12" s="2" t="s">
        <v>13</v>
      </c>
      <c r="B12" s="3" t="s">
        <v>27</v>
      </c>
      <c r="C12" s="4" t="s">
        <v>28</v>
      </c>
      <c r="D12" s="5">
        <v>2</v>
      </c>
      <c r="E12" s="6">
        <v>83</v>
      </c>
      <c r="F12" s="7">
        <f>E12/41.5</f>
        <v>2</v>
      </c>
      <c r="G12" s="8">
        <f>D12*E12*57</f>
        <v>9462</v>
      </c>
      <c r="H12" s="9">
        <f>G12/41.5</f>
        <v>228</v>
      </c>
      <c r="I12" s="10" t="s">
        <v>19</v>
      </c>
    </row>
    <row r="13" spans="1:9" ht="15.75" customHeight="1" x14ac:dyDescent="0.25">
      <c r="A13" s="2" t="s">
        <v>13</v>
      </c>
      <c r="B13" s="3" t="s">
        <v>29</v>
      </c>
      <c r="C13" s="4" t="s">
        <v>15</v>
      </c>
      <c r="D13" s="5">
        <v>2.1000000000000001E-2</v>
      </c>
      <c r="E13" s="6">
        <v>9190</v>
      </c>
      <c r="F13" s="7">
        <f>E13/41.5</f>
        <v>221.44578313253012</v>
      </c>
      <c r="G13" s="8">
        <f>D13*E13*57</f>
        <v>11000.43</v>
      </c>
      <c r="H13" s="9">
        <f>G13/41.5</f>
        <v>265.07060240963858</v>
      </c>
      <c r="I13" s="10" t="s">
        <v>30</v>
      </c>
    </row>
    <row r="14" spans="1:9" ht="15.75" customHeight="1" x14ac:dyDescent="0.25">
      <c r="A14" s="2" t="s">
        <v>13</v>
      </c>
      <c r="B14" s="3" t="s">
        <v>31</v>
      </c>
      <c r="C14" s="4" t="s">
        <v>25</v>
      </c>
      <c r="D14" s="5">
        <v>1</v>
      </c>
      <c r="E14" s="6">
        <v>332</v>
      </c>
      <c r="F14" s="7">
        <f>E14/41.5</f>
        <v>8</v>
      </c>
      <c r="G14" s="8">
        <f>D14*E14*57</f>
        <v>18924</v>
      </c>
      <c r="H14" s="9">
        <f>G14/41.5</f>
        <v>456</v>
      </c>
      <c r="I14" s="10" t="s">
        <v>32</v>
      </c>
    </row>
    <row r="15" spans="1:9" ht="4.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</row>
    <row r="16" spans="1:9" ht="18" customHeight="1" x14ac:dyDescent="0.25">
      <c r="A16" s="182" t="s">
        <v>33</v>
      </c>
      <c r="B16" s="182"/>
      <c r="C16" s="182"/>
      <c r="D16" s="182"/>
      <c r="E16" s="182"/>
      <c r="F16" s="182"/>
      <c r="G16" s="182"/>
      <c r="H16" s="182"/>
      <c r="I16" s="182"/>
    </row>
    <row r="17" spans="1:9" ht="15.75" customHeight="1" x14ac:dyDescent="0.25">
      <c r="A17" s="12" t="s">
        <v>34</v>
      </c>
      <c r="B17" s="13" t="s">
        <v>35</v>
      </c>
      <c r="C17" s="14" t="s">
        <v>28</v>
      </c>
      <c r="D17" s="15">
        <v>2</v>
      </c>
      <c r="E17" s="6">
        <v>199</v>
      </c>
      <c r="F17" s="16">
        <f t="shared" ref="F17:F22" si="0">E17/41.5</f>
        <v>4.7951807228915664</v>
      </c>
      <c r="G17" s="17">
        <f t="shared" ref="G17:G22" si="1">D17*E17*134</f>
        <v>53332</v>
      </c>
      <c r="H17" s="18">
        <f t="shared" ref="H17:H22" si="2">G17/41.5</f>
        <v>1285.1084337349398</v>
      </c>
      <c r="I17" s="19" t="s">
        <v>36</v>
      </c>
    </row>
    <row r="18" spans="1:9" ht="15.75" customHeight="1" x14ac:dyDescent="0.25">
      <c r="A18" s="12" t="s">
        <v>34</v>
      </c>
      <c r="B18" s="13" t="s">
        <v>37</v>
      </c>
      <c r="C18" s="14" t="s">
        <v>28</v>
      </c>
      <c r="D18" s="15">
        <v>0.6</v>
      </c>
      <c r="E18" s="6">
        <v>174</v>
      </c>
      <c r="F18" s="16">
        <f t="shared" si="0"/>
        <v>4.1927710843373491</v>
      </c>
      <c r="G18" s="17">
        <f t="shared" si="1"/>
        <v>13989.599999999999</v>
      </c>
      <c r="H18" s="18">
        <f t="shared" si="2"/>
        <v>337.09879518072285</v>
      </c>
      <c r="I18" s="19" t="s">
        <v>32</v>
      </c>
    </row>
    <row r="19" spans="1:9" ht="15.75" customHeight="1" x14ac:dyDescent="0.25">
      <c r="A19" s="12" t="s">
        <v>34</v>
      </c>
      <c r="B19" s="13" t="s">
        <v>38</v>
      </c>
      <c r="C19" s="14" t="s">
        <v>21</v>
      </c>
      <c r="D19" s="15">
        <v>0.01</v>
      </c>
      <c r="E19" s="6">
        <v>6225</v>
      </c>
      <c r="F19" s="16">
        <f t="shared" si="0"/>
        <v>150</v>
      </c>
      <c r="G19" s="17">
        <f t="shared" si="1"/>
        <v>8341.5</v>
      </c>
      <c r="H19" s="18">
        <f t="shared" si="2"/>
        <v>201</v>
      </c>
      <c r="I19" s="19" t="s">
        <v>22</v>
      </c>
    </row>
    <row r="20" spans="1:9" ht="15.75" customHeight="1" x14ac:dyDescent="0.25">
      <c r="A20" s="12" t="s">
        <v>34</v>
      </c>
      <c r="B20" s="13" t="s">
        <v>39</v>
      </c>
      <c r="C20" s="14" t="s">
        <v>40</v>
      </c>
      <c r="D20" s="15">
        <v>1</v>
      </c>
      <c r="E20" s="6">
        <v>212</v>
      </c>
      <c r="F20" s="16">
        <f t="shared" si="0"/>
        <v>5.1084337349397586</v>
      </c>
      <c r="G20" s="17">
        <f t="shared" si="1"/>
        <v>28408</v>
      </c>
      <c r="H20" s="18">
        <f t="shared" si="2"/>
        <v>684.53012048192772</v>
      </c>
      <c r="I20" s="19" t="s">
        <v>41</v>
      </c>
    </row>
    <row r="21" spans="1:9" ht="15.75" customHeight="1" x14ac:dyDescent="0.25">
      <c r="A21" s="12" t="s">
        <v>34</v>
      </c>
      <c r="B21" s="13" t="s">
        <v>42</v>
      </c>
      <c r="C21" s="14" t="s">
        <v>40</v>
      </c>
      <c r="D21" s="15">
        <v>1.08</v>
      </c>
      <c r="E21" s="6">
        <v>145</v>
      </c>
      <c r="F21" s="16">
        <f t="shared" si="0"/>
        <v>3.4939759036144578</v>
      </c>
      <c r="G21" s="17">
        <f t="shared" si="1"/>
        <v>20984.400000000001</v>
      </c>
      <c r="H21" s="18">
        <f t="shared" si="2"/>
        <v>505.64819277108438</v>
      </c>
      <c r="I21" s="19" t="s">
        <v>43</v>
      </c>
    </row>
    <row r="22" spans="1:9" ht="15.75" customHeight="1" x14ac:dyDescent="0.25">
      <c r="A22" s="12" t="s">
        <v>34</v>
      </c>
      <c r="B22" s="13" t="s">
        <v>44</v>
      </c>
      <c r="C22" s="14" t="s">
        <v>40</v>
      </c>
      <c r="D22" s="15">
        <v>1</v>
      </c>
      <c r="E22" s="6">
        <v>249</v>
      </c>
      <c r="F22" s="16">
        <f t="shared" si="0"/>
        <v>6</v>
      </c>
      <c r="G22" s="17">
        <f t="shared" si="1"/>
        <v>33366</v>
      </c>
      <c r="H22" s="18">
        <f t="shared" si="2"/>
        <v>804</v>
      </c>
      <c r="I22" s="19" t="s">
        <v>45</v>
      </c>
    </row>
    <row r="23" spans="1:9" ht="4.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spans="1:9" ht="18" customHeight="1" x14ac:dyDescent="0.25">
      <c r="A24" s="182" t="s">
        <v>46</v>
      </c>
      <c r="B24" s="182"/>
      <c r="C24" s="182"/>
      <c r="D24" s="182"/>
      <c r="E24" s="182"/>
      <c r="F24" s="182"/>
      <c r="G24" s="182"/>
      <c r="H24" s="182"/>
      <c r="I24" s="182"/>
    </row>
    <row r="25" spans="1:9" ht="15.75" customHeight="1" x14ac:dyDescent="0.25">
      <c r="A25" s="12" t="s">
        <v>34</v>
      </c>
      <c r="B25" s="13" t="s">
        <v>47</v>
      </c>
      <c r="C25" s="14" t="s">
        <v>28</v>
      </c>
      <c r="D25" s="15">
        <v>1.83</v>
      </c>
      <c r="E25" s="6">
        <v>178</v>
      </c>
      <c r="F25" s="16">
        <f>E25/41.5</f>
        <v>4.2891566265060241</v>
      </c>
      <c r="G25" s="17">
        <f>D25*E25*175</f>
        <v>57004.5</v>
      </c>
      <c r="H25" s="18">
        <f>G25/41.5</f>
        <v>1373.6024096385543</v>
      </c>
      <c r="I25" s="19" t="s">
        <v>32</v>
      </c>
    </row>
    <row r="26" spans="1:9" ht="15.75" customHeight="1" x14ac:dyDescent="0.25">
      <c r="A26" s="12" t="s">
        <v>34</v>
      </c>
      <c r="B26" s="13" t="s">
        <v>48</v>
      </c>
      <c r="C26" s="14" t="s">
        <v>28</v>
      </c>
      <c r="D26" s="15">
        <v>0.56999999999999995</v>
      </c>
      <c r="E26" s="6">
        <v>153</v>
      </c>
      <c r="F26" s="16">
        <f>E26/41.5</f>
        <v>3.6867469879518073</v>
      </c>
      <c r="G26" s="17">
        <f>D26*E26*175</f>
        <v>15261.749999999998</v>
      </c>
      <c r="H26" s="18">
        <f>G26/41.5</f>
        <v>367.75301204819272</v>
      </c>
      <c r="I26" s="19" t="s">
        <v>32</v>
      </c>
    </row>
    <row r="27" spans="1:9" ht="15.75" customHeight="1" x14ac:dyDescent="0.25">
      <c r="A27" s="12" t="s">
        <v>34</v>
      </c>
      <c r="B27" s="13" t="s">
        <v>38</v>
      </c>
      <c r="C27" s="14" t="s">
        <v>21</v>
      </c>
      <c r="D27" s="15">
        <v>0.01</v>
      </c>
      <c r="E27" s="6">
        <v>4148</v>
      </c>
      <c r="F27" s="16">
        <f>E27/41.5</f>
        <v>99.951807228915669</v>
      </c>
      <c r="G27" s="17">
        <f>D27*E27*175</f>
        <v>7259.0000000000009</v>
      </c>
      <c r="H27" s="18">
        <f>G27/41.5</f>
        <v>174.91566265060243</v>
      </c>
      <c r="I27" s="19" t="s">
        <v>22</v>
      </c>
    </row>
    <row r="28" spans="1:9" ht="15.75" customHeight="1" x14ac:dyDescent="0.25">
      <c r="A28" s="12" t="s">
        <v>34</v>
      </c>
      <c r="B28" s="13" t="s">
        <v>49</v>
      </c>
      <c r="C28" s="14" t="s">
        <v>40</v>
      </c>
      <c r="D28" s="15">
        <v>1</v>
      </c>
      <c r="E28" s="6">
        <v>207</v>
      </c>
      <c r="F28" s="16">
        <f>E28/41.5</f>
        <v>4.9879518072289155</v>
      </c>
      <c r="G28" s="17">
        <f>D28*E28*175</f>
        <v>36225</v>
      </c>
      <c r="H28" s="18">
        <f>G28/41.5</f>
        <v>872.89156626506019</v>
      </c>
      <c r="I28" s="19" t="s">
        <v>45</v>
      </c>
    </row>
    <row r="29" spans="1:9" ht="4.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spans="1:9" ht="18" customHeight="1" x14ac:dyDescent="0.25">
      <c r="A30" s="182" t="s">
        <v>50</v>
      </c>
      <c r="B30" s="182"/>
      <c r="C30" s="182"/>
      <c r="D30" s="182"/>
      <c r="E30" s="182"/>
      <c r="F30" s="182"/>
      <c r="G30" s="182"/>
      <c r="H30" s="182"/>
      <c r="I30" s="182"/>
    </row>
    <row r="31" spans="1:9" ht="15.75" customHeight="1" x14ac:dyDescent="0.25">
      <c r="A31" s="12" t="s">
        <v>34</v>
      </c>
      <c r="B31" s="13" t="s">
        <v>51</v>
      </c>
      <c r="C31" s="14" t="s">
        <v>40</v>
      </c>
      <c r="D31" s="15">
        <v>2.11</v>
      </c>
      <c r="E31" s="6">
        <v>220</v>
      </c>
      <c r="F31" s="16">
        <f>E31/41.5</f>
        <v>5.3012048192771086</v>
      </c>
      <c r="G31" s="17">
        <f>D31*E31*175</f>
        <v>81235</v>
      </c>
      <c r="H31" s="18">
        <f>G31/41.5</f>
        <v>1957.4698795180723</v>
      </c>
      <c r="I31" s="19" t="s">
        <v>52</v>
      </c>
    </row>
    <row r="32" spans="1:9" ht="15.75" customHeight="1" x14ac:dyDescent="0.25">
      <c r="A32" s="12" t="s">
        <v>34</v>
      </c>
      <c r="B32" s="13" t="s">
        <v>53</v>
      </c>
      <c r="C32" s="14" t="s">
        <v>40</v>
      </c>
      <c r="D32" s="15">
        <v>0.34</v>
      </c>
      <c r="E32" s="6">
        <v>332</v>
      </c>
      <c r="F32" s="16">
        <f>E32/41.5</f>
        <v>8</v>
      </c>
      <c r="G32" s="17">
        <f>D32*E32*175</f>
        <v>19754</v>
      </c>
      <c r="H32" s="18">
        <f>G32/41.5</f>
        <v>476</v>
      </c>
      <c r="I32" s="19" t="s">
        <v>54</v>
      </c>
    </row>
    <row r="33" spans="1:9" ht="15.75" customHeight="1" x14ac:dyDescent="0.25">
      <c r="A33" s="12" t="s">
        <v>34</v>
      </c>
      <c r="B33" s="13" t="s">
        <v>55</v>
      </c>
      <c r="C33" s="14" t="s">
        <v>21</v>
      </c>
      <c r="D33" s="15">
        <v>0.01</v>
      </c>
      <c r="E33" s="6">
        <v>8300</v>
      </c>
      <c r="F33" s="16">
        <f>E33/41.5</f>
        <v>200</v>
      </c>
      <c r="G33" s="17">
        <f>D33*E33*175</f>
        <v>14525</v>
      </c>
      <c r="H33" s="18">
        <f>G33/41.5</f>
        <v>350</v>
      </c>
      <c r="I33" s="19" t="s">
        <v>22</v>
      </c>
    </row>
    <row r="34" spans="1:9" ht="15.75" customHeight="1" x14ac:dyDescent="0.25">
      <c r="A34" s="12" t="s">
        <v>34</v>
      </c>
      <c r="B34" s="13" t="s">
        <v>56</v>
      </c>
      <c r="C34" s="14" t="s">
        <v>21</v>
      </c>
      <c r="D34" s="15">
        <v>0.01</v>
      </c>
      <c r="E34" s="6">
        <v>3320</v>
      </c>
      <c r="F34" s="16">
        <f>E34/41.5</f>
        <v>80</v>
      </c>
      <c r="G34" s="17">
        <f>D34*E34*175</f>
        <v>5810.0000000000009</v>
      </c>
      <c r="H34" s="18">
        <f>G34/41.5</f>
        <v>140.00000000000003</v>
      </c>
      <c r="I34" s="19" t="s">
        <v>22</v>
      </c>
    </row>
    <row r="35" spans="1:9" ht="4.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ht="18" customHeight="1" x14ac:dyDescent="0.25">
      <c r="A36" s="180" t="s">
        <v>57</v>
      </c>
      <c r="B36" s="180"/>
      <c r="C36" s="180"/>
      <c r="D36" s="180"/>
      <c r="E36" s="180"/>
      <c r="F36" s="180"/>
      <c r="G36" s="180"/>
      <c r="H36" s="180"/>
      <c r="I36" s="180"/>
    </row>
    <row r="37" spans="1:9" ht="15.75" customHeight="1" x14ac:dyDescent="0.25">
      <c r="A37" s="20" t="s">
        <v>58</v>
      </c>
      <c r="B37" s="21" t="s">
        <v>59</v>
      </c>
      <c r="C37" s="22" t="s">
        <v>28</v>
      </c>
      <c r="D37" s="23">
        <v>1.17</v>
      </c>
      <c r="E37" s="6">
        <v>199</v>
      </c>
      <c r="F37" s="24">
        <f>E37/41.5</f>
        <v>4.7951807228915664</v>
      </c>
      <c r="G37" s="25">
        <f>D37*E37*120</f>
        <v>27939.599999999999</v>
      </c>
      <c r="H37" s="26">
        <f>G37/41.5</f>
        <v>673.24337349397592</v>
      </c>
      <c r="I37" s="27" t="s">
        <v>32</v>
      </c>
    </row>
    <row r="38" spans="1:9" ht="15.75" customHeight="1" x14ac:dyDescent="0.25">
      <c r="A38" s="20" t="s">
        <v>58</v>
      </c>
      <c r="B38" s="21" t="s">
        <v>60</v>
      </c>
      <c r="C38" s="22" t="s">
        <v>28</v>
      </c>
      <c r="D38" s="23">
        <v>0.2</v>
      </c>
      <c r="E38" s="6">
        <v>581</v>
      </c>
      <c r="F38" s="24">
        <f>E38/41.5</f>
        <v>14</v>
      </c>
      <c r="G38" s="25">
        <f>D38*E38*120</f>
        <v>13944</v>
      </c>
      <c r="H38" s="26">
        <f>G38/41.5</f>
        <v>336</v>
      </c>
      <c r="I38" s="27" t="s">
        <v>22</v>
      </c>
    </row>
    <row r="39" spans="1:9" ht="15.75" customHeight="1" x14ac:dyDescent="0.25">
      <c r="A39" s="20" t="s">
        <v>58</v>
      </c>
      <c r="B39" s="21" t="s">
        <v>61</v>
      </c>
      <c r="C39" s="22" t="s">
        <v>21</v>
      </c>
      <c r="D39" s="23">
        <v>0.01</v>
      </c>
      <c r="E39" s="6">
        <v>7470</v>
      </c>
      <c r="F39" s="24">
        <f>E39/41.5</f>
        <v>180</v>
      </c>
      <c r="G39" s="25">
        <f>D39*E39*120</f>
        <v>8964</v>
      </c>
      <c r="H39" s="26">
        <f>G39/41.5</f>
        <v>216</v>
      </c>
      <c r="I39" s="27" t="s">
        <v>22</v>
      </c>
    </row>
    <row r="40" spans="1:9" ht="4.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</row>
    <row r="41" spans="1:9" ht="18" customHeight="1" x14ac:dyDescent="0.25">
      <c r="A41" s="180" t="s">
        <v>62</v>
      </c>
      <c r="B41" s="180"/>
      <c r="C41" s="180"/>
      <c r="D41" s="180"/>
      <c r="E41" s="180"/>
      <c r="F41" s="180"/>
      <c r="G41" s="180"/>
      <c r="H41" s="180"/>
      <c r="I41" s="180"/>
    </row>
    <row r="42" spans="1:9" ht="15.75" customHeight="1" x14ac:dyDescent="0.25">
      <c r="A42" s="20" t="s">
        <v>58</v>
      </c>
      <c r="B42" s="21" t="s">
        <v>63</v>
      </c>
      <c r="C42" s="22" t="s">
        <v>40</v>
      </c>
      <c r="D42" s="23">
        <v>1</v>
      </c>
      <c r="E42" s="6">
        <v>980</v>
      </c>
      <c r="F42" s="24">
        <f>E42/41.5</f>
        <v>23.6144578313253</v>
      </c>
      <c r="G42" s="25">
        <f>D42*E42*130</f>
        <v>127400</v>
      </c>
      <c r="H42" s="26">
        <f>G42/41.5</f>
        <v>3069.8795180722891</v>
      </c>
      <c r="I42" s="27" t="s">
        <v>54</v>
      </c>
    </row>
    <row r="43" spans="1:9" ht="15.75" customHeight="1" x14ac:dyDescent="0.25">
      <c r="A43" s="20" t="s">
        <v>58</v>
      </c>
      <c r="B43" s="21" t="s">
        <v>64</v>
      </c>
      <c r="C43" s="22" t="s">
        <v>40</v>
      </c>
      <c r="D43" s="23">
        <v>1.08</v>
      </c>
      <c r="E43" s="6">
        <v>166</v>
      </c>
      <c r="F43" s="24">
        <f>E43/41.5</f>
        <v>4</v>
      </c>
      <c r="G43" s="25">
        <f>D43*E43*130</f>
        <v>23306.400000000001</v>
      </c>
      <c r="H43" s="26">
        <f>G43/41.5</f>
        <v>561.6</v>
      </c>
      <c r="I43" s="27" t="s">
        <v>19</v>
      </c>
    </row>
    <row r="44" spans="1:9" ht="15.75" customHeight="1" x14ac:dyDescent="0.25">
      <c r="A44" s="20" t="s">
        <v>58</v>
      </c>
      <c r="B44" s="21" t="s">
        <v>65</v>
      </c>
      <c r="C44" s="22" t="s">
        <v>40</v>
      </c>
      <c r="D44" s="23">
        <v>1</v>
      </c>
      <c r="E44" s="6">
        <v>373</v>
      </c>
      <c r="F44" s="24">
        <f>E44/41.5</f>
        <v>8.9879518072289155</v>
      </c>
      <c r="G44" s="25">
        <f>D44*E44*130</f>
        <v>48490</v>
      </c>
      <c r="H44" s="26">
        <f>G44/41.5</f>
        <v>1168.433734939759</v>
      </c>
      <c r="I44" s="27" t="s">
        <v>45</v>
      </c>
    </row>
    <row r="45" spans="1:9" ht="4.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</row>
    <row r="46" spans="1:9" ht="18" customHeight="1" x14ac:dyDescent="0.25">
      <c r="A46" s="180" t="s">
        <v>66</v>
      </c>
      <c r="B46" s="180"/>
      <c r="C46" s="180"/>
      <c r="D46" s="180"/>
      <c r="E46" s="180"/>
      <c r="F46" s="180"/>
      <c r="G46" s="180"/>
      <c r="H46" s="180"/>
      <c r="I46" s="180"/>
    </row>
    <row r="47" spans="1:9" ht="15.75" customHeight="1" x14ac:dyDescent="0.25">
      <c r="A47" s="20" t="s">
        <v>58</v>
      </c>
      <c r="B47" s="21" t="s">
        <v>67</v>
      </c>
      <c r="C47" s="22" t="s">
        <v>40</v>
      </c>
      <c r="D47" s="23">
        <v>1.02</v>
      </c>
      <c r="E47" s="6">
        <v>285</v>
      </c>
      <c r="F47" s="24">
        <f>E47/41.5</f>
        <v>6.8674698795180724</v>
      </c>
      <c r="G47" s="25">
        <f>D47*E47*130</f>
        <v>37791</v>
      </c>
      <c r="H47" s="26">
        <f>G47/41.5</f>
        <v>910.62650602409633</v>
      </c>
      <c r="I47" s="27" t="s">
        <v>68</v>
      </c>
    </row>
    <row r="48" spans="1:9" ht="15.75" customHeight="1" x14ac:dyDescent="0.25">
      <c r="A48" s="20" t="s">
        <v>58</v>
      </c>
      <c r="B48" s="21" t="s">
        <v>69</v>
      </c>
      <c r="C48" s="22" t="s">
        <v>28</v>
      </c>
      <c r="D48" s="23">
        <v>0.23</v>
      </c>
      <c r="E48" s="6">
        <v>415</v>
      </c>
      <c r="F48" s="24">
        <f>E48/41.5</f>
        <v>10</v>
      </c>
      <c r="G48" s="25">
        <f>D48*E48*130</f>
        <v>12408.5</v>
      </c>
      <c r="H48" s="26">
        <f>G48/41.5</f>
        <v>299</v>
      </c>
      <c r="I48" s="27" t="s">
        <v>22</v>
      </c>
    </row>
    <row r="49" spans="1:9" ht="15.75" customHeight="1" x14ac:dyDescent="0.25">
      <c r="A49" s="20" t="s">
        <v>58</v>
      </c>
      <c r="B49" s="21" t="s">
        <v>70</v>
      </c>
      <c r="C49" s="22" t="s">
        <v>28</v>
      </c>
      <c r="D49" s="23">
        <v>0.38</v>
      </c>
      <c r="E49" s="6">
        <v>249</v>
      </c>
      <c r="F49" s="24">
        <f>E49/41.5</f>
        <v>6</v>
      </c>
      <c r="G49" s="25">
        <f>D49*E49*130</f>
        <v>12300.6</v>
      </c>
      <c r="H49" s="26">
        <f>G49/41.5</f>
        <v>296.40000000000003</v>
      </c>
      <c r="I49" s="27" t="s">
        <v>22</v>
      </c>
    </row>
    <row r="50" spans="1:9" ht="15.75" customHeight="1" x14ac:dyDescent="0.25">
      <c r="A50" s="20" t="s">
        <v>58</v>
      </c>
      <c r="B50" s="21" t="s">
        <v>71</v>
      </c>
      <c r="C50" s="22" t="s">
        <v>21</v>
      </c>
      <c r="D50" s="23">
        <v>0.01</v>
      </c>
      <c r="E50" s="6">
        <v>6225</v>
      </c>
      <c r="F50" s="24">
        <f>E50/41.5</f>
        <v>150</v>
      </c>
      <c r="G50" s="25">
        <f>D50*E50*130</f>
        <v>8092.5</v>
      </c>
      <c r="H50" s="26">
        <f>G50/41.5</f>
        <v>195</v>
      </c>
      <c r="I50" s="27" t="s">
        <v>22</v>
      </c>
    </row>
    <row r="51" spans="1:9" ht="4.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</row>
    <row r="52" spans="1:9" ht="18" customHeight="1" x14ac:dyDescent="0.25">
      <c r="A52" s="180" t="s">
        <v>72</v>
      </c>
      <c r="B52" s="180"/>
      <c r="C52" s="180"/>
      <c r="D52" s="180"/>
      <c r="E52" s="180"/>
      <c r="F52" s="180"/>
      <c r="G52" s="180"/>
      <c r="H52" s="180"/>
      <c r="I52" s="180"/>
    </row>
    <row r="53" spans="1:9" ht="15.75" customHeight="1" x14ac:dyDescent="0.25">
      <c r="A53" s="20" t="s">
        <v>58</v>
      </c>
      <c r="B53" s="21" t="s">
        <v>73</v>
      </c>
      <c r="C53" s="22" t="s">
        <v>40</v>
      </c>
      <c r="D53" s="23">
        <v>1</v>
      </c>
      <c r="E53" s="6">
        <v>498</v>
      </c>
      <c r="F53" s="24">
        <f>E53/41.5</f>
        <v>12</v>
      </c>
      <c r="G53" s="25">
        <f>D53*E53*32</f>
        <v>15936</v>
      </c>
      <c r="H53" s="26">
        <f>G53/41.5</f>
        <v>384</v>
      </c>
      <c r="I53" s="27" t="s">
        <v>74</v>
      </c>
    </row>
    <row r="54" spans="1:9" ht="15.75" customHeight="1" x14ac:dyDescent="0.25">
      <c r="A54" s="20" t="s">
        <v>58</v>
      </c>
      <c r="B54" s="21" t="s">
        <v>75</v>
      </c>
      <c r="C54" s="22" t="s">
        <v>28</v>
      </c>
      <c r="D54" s="23">
        <v>3.75</v>
      </c>
      <c r="E54" s="6">
        <v>145</v>
      </c>
      <c r="F54" s="24">
        <f>E54/41.5</f>
        <v>3.4939759036144578</v>
      </c>
      <c r="G54" s="25">
        <f>D54*E54*32</f>
        <v>17400</v>
      </c>
      <c r="H54" s="26">
        <f>G54/41.5</f>
        <v>419.27710843373495</v>
      </c>
      <c r="I54" s="27" t="s">
        <v>19</v>
      </c>
    </row>
    <row r="55" spans="1:9" ht="15.75" customHeight="1" x14ac:dyDescent="0.25">
      <c r="A55" s="20" t="s">
        <v>58</v>
      </c>
      <c r="B55" s="21" t="s">
        <v>76</v>
      </c>
      <c r="C55" s="22" t="s">
        <v>21</v>
      </c>
      <c r="D55" s="23">
        <v>0.03</v>
      </c>
      <c r="E55" s="6">
        <v>2905</v>
      </c>
      <c r="F55" s="24">
        <f>E55/41.5</f>
        <v>70</v>
      </c>
      <c r="G55" s="25">
        <f>D55*E55*32</f>
        <v>2788.7999999999997</v>
      </c>
      <c r="H55" s="26">
        <f>G55/41.5</f>
        <v>67.199999999999989</v>
      </c>
      <c r="I55" s="27" t="s">
        <v>22</v>
      </c>
    </row>
    <row r="56" spans="1:9" ht="15.75" customHeight="1" x14ac:dyDescent="0.25">
      <c r="A56" s="20" t="s">
        <v>58</v>
      </c>
      <c r="B56" s="21" t="s">
        <v>77</v>
      </c>
      <c r="C56" s="22" t="s">
        <v>28</v>
      </c>
      <c r="D56" s="23">
        <v>1.25</v>
      </c>
      <c r="E56" s="6">
        <v>166</v>
      </c>
      <c r="F56" s="24">
        <f>E56/41.5</f>
        <v>4</v>
      </c>
      <c r="G56" s="25">
        <f>D56*E56*32</f>
        <v>6640</v>
      </c>
      <c r="H56" s="26">
        <f>G56/41.5</f>
        <v>160</v>
      </c>
      <c r="I56" s="27" t="s">
        <v>22</v>
      </c>
    </row>
    <row r="57" spans="1:9" ht="4.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</row>
    <row r="58" spans="1:9" ht="18" customHeight="1" x14ac:dyDescent="0.25">
      <c r="A58" s="181" t="s">
        <v>78</v>
      </c>
      <c r="B58" s="181"/>
      <c r="C58" s="181"/>
      <c r="D58" s="181"/>
      <c r="E58" s="181"/>
      <c r="F58" s="181"/>
      <c r="G58" s="181"/>
      <c r="H58" s="181"/>
      <c r="I58" s="181"/>
    </row>
    <row r="59" spans="1:9" ht="15.75" customHeight="1" x14ac:dyDescent="0.25">
      <c r="A59" s="28" t="s">
        <v>79</v>
      </c>
      <c r="B59" s="29" t="s">
        <v>80</v>
      </c>
      <c r="C59" s="30" t="s">
        <v>40</v>
      </c>
      <c r="D59" s="31">
        <v>1.08</v>
      </c>
      <c r="E59" s="6">
        <v>125</v>
      </c>
      <c r="F59" s="32">
        <f>E59/41.5</f>
        <v>3.0120481927710845</v>
      </c>
      <c r="G59" s="33">
        <f>D59*E59*134</f>
        <v>18090</v>
      </c>
      <c r="H59" s="34">
        <f>G59/41.5</f>
        <v>435.90361445783134</v>
      </c>
      <c r="I59" s="35" t="s">
        <v>81</v>
      </c>
    </row>
    <row r="60" spans="1:9" ht="15.75" customHeight="1" x14ac:dyDescent="0.25">
      <c r="A60" s="28" t="s">
        <v>79</v>
      </c>
      <c r="B60" s="29" t="s">
        <v>82</v>
      </c>
      <c r="C60" s="30" t="s">
        <v>28</v>
      </c>
      <c r="D60" s="31">
        <v>2.09</v>
      </c>
      <c r="E60" s="6">
        <v>104</v>
      </c>
      <c r="F60" s="32">
        <f>E60/41.5</f>
        <v>2.5060240963855422</v>
      </c>
      <c r="G60" s="33">
        <f>D60*E60*134</f>
        <v>29126.239999999998</v>
      </c>
      <c r="H60" s="34">
        <f>G60/41.5</f>
        <v>701.8371084337349</v>
      </c>
      <c r="I60" s="35" t="s">
        <v>19</v>
      </c>
    </row>
    <row r="61" spans="1:9" ht="15.75" customHeight="1" x14ac:dyDescent="0.25">
      <c r="A61" s="28" t="s">
        <v>79</v>
      </c>
      <c r="B61" s="29" t="s">
        <v>83</v>
      </c>
      <c r="C61" s="30" t="s">
        <v>21</v>
      </c>
      <c r="D61" s="31">
        <v>0.01</v>
      </c>
      <c r="E61" s="6">
        <v>2075</v>
      </c>
      <c r="F61" s="32">
        <f>E61/41.5</f>
        <v>50</v>
      </c>
      <c r="G61" s="33">
        <f>D61*E61*134</f>
        <v>2780.5</v>
      </c>
      <c r="H61" s="34">
        <f>G61/41.5</f>
        <v>67</v>
      </c>
      <c r="I61" s="35" t="s">
        <v>22</v>
      </c>
    </row>
    <row r="62" spans="1:9" ht="4.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</row>
    <row r="63" spans="1:9" ht="18" customHeight="1" x14ac:dyDescent="0.25">
      <c r="A63" s="181" t="s">
        <v>84</v>
      </c>
      <c r="B63" s="181"/>
      <c r="C63" s="181"/>
      <c r="D63" s="181"/>
      <c r="E63" s="181"/>
      <c r="F63" s="181"/>
      <c r="G63" s="181"/>
      <c r="H63" s="181"/>
      <c r="I63" s="181"/>
    </row>
    <row r="64" spans="1:9" ht="15.75" customHeight="1" x14ac:dyDescent="0.25">
      <c r="A64" s="28" t="s">
        <v>79</v>
      </c>
      <c r="B64" s="29" t="s">
        <v>85</v>
      </c>
      <c r="C64" s="30" t="s">
        <v>40</v>
      </c>
      <c r="D64" s="31">
        <v>1.1499999999999999</v>
      </c>
      <c r="E64" s="6">
        <v>1200</v>
      </c>
      <c r="F64" s="32">
        <f>E64/41.5</f>
        <v>28.91566265060241</v>
      </c>
      <c r="G64" s="33">
        <f>D64*E64*134</f>
        <v>184920</v>
      </c>
      <c r="H64" s="34">
        <f>G64/41.5</f>
        <v>4455.9036144578313</v>
      </c>
      <c r="I64" s="35" t="s">
        <v>86</v>
      </c>
    </row>
    <row r="65" spans="1:9" ht="15.75" customHeight="1" x14ac:dyDescent="0.25">
      <c r="A65" s="28" t="s">
        <v>79</v>
      </c>
      <c r="B65" s="29" t="s">
        <v>87</v>
      </c>
      <c r="C65" s="30" t="s">
        <v>88</v>
      </c>
      <c r="D65" s="31">
        <v>0.25</v>
      </c>
      <c r="E65" s="6">
        <v>830</v>
      </c>
      <c r="F65" s="32">
        <f>E65/41.5</f>
        <v>20</v>
      </c>
      <c r="G65" s="33">
        <f>D65*E65*134</f>
        <v>27805</v>
      </c>
      <c r="H65" s="34">
        <f>G65/41.5</f>
        <v>670</v>
      </c>
      <c r="I65" s="35" t="s">
        <v>19</v>
      </c>
    </row>
    <row r="66" spans="1:9" ht="15.75" customHeight="1" x14ac:dyDescent="0.25">
      <c r="A66" s="28" t="s">
        <v>79</v>
      </c>
      <c r="B66" s="29" t="s">
        <v>83</v>
      </c>
      <c r="C66" s="30" t="s">
        <v>21</v>
      </c>
      <c r="D66" s="31">
        <v>0.01</v>
      </c>
      <c r="E66" s="6">
        <v>2490</v>
      </c>
      <c r="F66" s="32">
        <f>E66/41.5</f>
        <v>60</v>
      </c>
      <c r="G66" s="33">
        <f>D66*E66*134</f>
        <v>3336.6000000000004</v>
      </c>
      <c r="H66" s="34">
        <f>G66/41.5</f>
        <v>80.400000000000006</v>
      </c>
      <c r="I66" s="35" t="s">
        <v>22</v>
      </c>
    </row>
    <row r="67" spans="1:9" ht="4.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</row>
    <row r="68" spans="1:9" ht="18" customHeight="1" x14ac:dyDescent="0.25">
      <c r="A68" s="177" t="s">
        <v>89</v>
      </c>
      <c r="B68" s="177"/>
      <c r="C68" s="177"/>
      <c r="D68" s="177"/>
      <c r="E68" s="177"/>
      <c r="F68" s="177"/>
      <c r="G68" s="177"/>
      <c r="H68" s="177"/>
      <c r="I68" s="177"/>
    </row>
    <row r="69" spans="1:9" ht="15.75" customHeight="1" x14ac:dyDescent="0.25">
      <c r="A69" s="36" t="s">
        <v>90</v>
      </c>
      <c r="B69" s="37" t="s">
        <v>91</v>
      </c>
      <c r="C69" s="38" t="s">
        <v>28</v>
      </c>
      <c r="D69" s="39">
        <v>1.37</v>
      </c>
      <c r="E69" s="6">
        <v>311</v>
      </c>
      <c r="F69" s="40">
        <f>E69/41.5</f>
        <v>7.4939759036144578</v>
      </c>
      <c r="G69" s="41">
        <f>D69*E69*131</f>
        <v>55815.170000000006</v>
      </c>
      <c r="H69" s="42">
        <f>G69/41.5</f>
        <v>1344.943855421687</v>
      </c>
      <c r="I69" s="43" t="s">
        <v>86</v>
      </c>
    </row>
    <row r="70" spans="1:9" ht="15.75" customHeight="1" x14ac:dyDescent="0.25">
      <c r="A70" s="36" t="s">
        <v>90</v>
      </c>
      <c r="B70" s="37" t="s">
        <v>92</v>
      </c>
      <c r="C70" s="38" t="s">
        <v>28</v>
      </c>
      <c r="D70" s="39">
        <v>2.75</v>
      </c>
      <c r="E70" s="6">
        <v>228</v>
      </c>
      <c r="F70" s="40">
        <f>E70/41.5</f>
        <v>5.4939759036144578</v>
      </c>
      <c r="G70" s="41">
        <f>D70*E70*131</f>
        <v>82137</v>
      </c>
      <c r="H70" s="42">
        <f>G70/41.5</f>
        <v>1979.2048192771085</v>
      </c>
      <c r="I70" s="43" t="s">
        <v>86</v>
      </c>
    </row>
    <row r="71" spans="1:9" ht="15.75" customHeight="1" x14ac:dyDescent="0.25">
      <c r="A71" s="36" t="s">
        <v>90</v>
      </c>
      <c r="B71" s="37" t="s">
        <v>93</v>
      </c>
      <c r="C71" s="38" t="s">
        <v>21</v>
      </c>
      <c r="D71" s="39">
        <v>0.01</v>
      </c>
      <c r="E71" s="6">
        <v>9130</v>
      </c>
      <c r="F71" s="40">
        <f>E71/41.5</f>
        <v>220</v>
      </c>
      <c r="G71" s="41">
        <f>D71*E71*131</f>
        <v>11960.3</v>
      </c>
      <c r="H71" s="42">
        <f>G71/41.5</f>
        <v>288.2</v>
      </c>
      <c r="I71" s="43" t="s">
        <v>22</v>
      </c>
    </row>
    <row r="72" spans="1:9" ht="15.75" customHeight="1" x14ac:dyDescent="0.25">
      <c r="A72" s="36" t="s">
        <v>90</v>
      </c>
      <c r="B72" s="37" t="s">
        <v>94</v>
      </c>
      <c r="C72" s="38" t="s">
        <v>25</v>
      </c>
      <c r="D72" s="39">
        <v>0.92</v>
      </c>
      <c r="E72" s="6">
        <v>104</v>
      </c>
      <c r="F72" s="40">
        <f>E72/41.5</f>
        <v>2.5060240963855422</v>
      </c>
      <c r="G72" s="41">
        <f>D72*E72*131</f>
        <v>12534.080000000002</v>
      </c>
      <c r="H72" s="42">
        <f>G72/41.5</f>
        <v>302.02602409638558</v>
      </c>
      <c r="I72" s="43" t="s">
        <v>19</v>
      </c>
    </row>
    <row r="73" spans="1:9" ht="15.75" customHeight="1" x14ac:dyDescent="0.25">
      <c r="A73" s="36" t="s">
        <v>90</v>
      </c>
      <c r="B73" s="37" t="s">
        <v>95</v>
      </c>
      <c r="C73" s="38" t="s">
        <v>28</v>
      </c>
      <c r="D73" s="39">
        <v>1.37</v>
      </c>
      <c r="E73" s="6">
        <v>50</v>
      </c>
      <c r="F73" s="40">
        <f>E73/41.5</f>
        <v>1.2048192771084338</v>
      </c>
      <c r="G73" s="41">
        <f>D73*E73*131</f>
        <v>8973.5</v>
      </c>
      <c r="H73" s="42">
        <f>G73/41.5</f>
        <v>216.22891566265059</v>
      </c>
      <c r="I73" s="43" t="s">
        <v>22</v>
      </c>
    </row>
    <row r="74" spans="1:9" ht="4.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</row>
    <row r="75" spans="1:9" ht="18" customHeight="1" x14ac:dyDescent="0.25">
      <c r="A75" s="177" t="s">
        <v>96</v>
      </c>
      <c r="B75" s="177"/>
      <c r="C75" s="177"/>
      <c r="D75" s="177"/>
      <c r="E75" s="177"/>
      <c r="F75" s="177"/>
      <c r="G75" s="177"/>
      <c r="H75" s="177"/>
      <c r="I75" s="177"/>
    </row>
    <row r="76" spans="1:9" ht="15.75" customHeight="1" x14ac:dyDescent="0.25">
      <c r="A76" s="36" t="s">
        <v>90</v>
      </c>
      <c r="B76" s="37" t="s">
        <v>269</v>
      </c>
      <c r="C76" s="38" t="s">
        <v>40</v>
      </c>
      <c r="D76" s="39">
        <v>1.1000000000000001</v>
      </c>
      <c r="E76" s="6">
        <v>2905</v>
      </c>
      <c r="F76" s="40">
        <f>E76/41.5</f>
        <v>70</v>
      </c>
      <c r="G76" s="41">
        <f>D76*E76*131</f>
        <v>418610.50000000006</v>
      </c>
      <c r="H76" s="42">
        <f>G76/41.5</f>
        <v>10087.000000000002</v>
      </c>
      <c r="I76" s="43" t="s">
        <v>97</v>
      </c>
    </row>
    <row r="77" spans="1:9" ht="15.75" customHeight="1" x14ac:dyDescent="0.25">
      <c r="A77" s="36" t="s">
        <v>90</v>
      </c>
      <c r="B77" s="37" t="s">
        <v>98</v>
      </c>
      <c r="C77" s="38" t="s">
        <v>21</v>
      </c>
      <c r="D77" s="39">
        <v>0.01</v>
      </c>
      <c r="E77" s="6">
        <v>6640</v>
      </c>
      <c r="F77" s="40">
        <f>E77/41.5</f>
        <v>160</v>
      </c>
      <c r="G77" s="41">
        <f>D77*E77*131</f>
        <v>8698.4000000000015</v>
      </c>
      <c r="H77" s="42">
        <f>G77/41.5</f>
        <v>209.60000000000002</v>
      </c>
      <c r="I77" s="43" t="s">
        <v>22</v>
      </c>
    </row>
    <row r="78" spans="1:9" ht="4.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</row>
    <row r="79" spans="1:9" ht="18" customHeight="1" x14ac:dyDescent="0.25">
      <c r="A79" s="178" t="s">
        <v>99</v>
      </c>
      <c r="B79" s="178"/>
      <c r="C79" s="178"/>
      <c r="D79" s="178"/>
      <c r="E79" s="178"/>
      <c r="F79" s="178"/>
      <c r="G79" s="178"/>
      <c r="H79" s="178"/>
      <c r="I79" s="178"/>
    </row>
    <row r="80" spans="1:9" ht="15.75" customHeight="1" x14ac:dyDescent="0.25">
      <c r="A80" s="44" t="s">
        <v>100</v>
      </c>
      <c r="B80" s="3" t="s">
        <v>101</v>
      </c>
      <c r="C80" s="4" t="s">
        <v>18</v>
      </c>
      <c r="D80" s="5">
        <v>0.2</v>
      </c>
      <c r="E80" s="6">
        <v>33</v>
      </c>
      <c r="F80" s="7">
        <f>E80/41.5</f>
        <v>0.79518072289156627</v>
      </c>
      <c r="G80" s="8">
        <f>D80*E80*350</f>
        <v>2310</v>
      </c>
      <c r="H80" s="9">
        <f>G80/41.5</f>
        <v>55.662650602409641</v>
      </c>
      <c r="I80" s="10" t="s">
        <v>19</v>
      </c>
    </row>
    <row r="81" spans="1:9" ht="15.75" customHeight="1" x14ac:dyDescent="0.25">
      <c r="A81" s="44" t="s">
        <v>100</v>
      </c>
      <c r="B81" s="3" t="s">
        <v>102</v>
      </c>
      <c r="C81" s="4" t="s">
        <v>88</v>
      </c>
      <c r="D81" s="5">
        <v>5.7000000000000002E-2</v>
      </c>
      <c r="E81" s="6">
        <v>104</v>
      </c>
      <c r="F81" s="7">
        <f>E81/41.5</f>
        <v>2.5060240963855422</v>
      </c>
      <c r="G81" s="8">
        <f>D81*E81*350</f>
        <v>2074.8000000000002</v>
      </c>
      <c r="H81" s="9">
        <f>G81/41.5</f>
        <v>49.995180722891568</v>
      </c>
      <c r="I81" s="10" t="s">
        <v>19</v>
      </c>
    </row>
    <row r="82" spans="1:9" ht="15.75" customHeight="1" x14ac:dyDescent="0.25">
      <c r="A82" s="44" t="s">
        <v>100</v>
      </c>
      <c r="B82" s="3" t="s">
        <v>103</v>
      </c>
      <c r="C82" s="4" t="s">
        <v>88</v>
      </c>
      <c r="D82" s="5">
        <v>0.17</v>
      </c>
      <c r="E82" s="6">
        <v>199</v>
      </c>
      <c r="F82" s="7">
        <f>E82/41.5</f>
        <v>4.7951807228915664</v>
      </c>
      <c r="G82" s="8">
        <f>D82*E82*350</f>
        <v>11840.500000000002</v>
      </c>
      <c r="H82" s="9">
        <f>G82/41.5</f>
        <v>285.31325301204822</v>
      </c>
      <c r="I82" s="10" t="s">
        <v>104</v>
      </c>
    </row>
    <row r="83" spans="1:9" ht="15.75" customHeight="1" x14ac:dyDescent="0.25">
      <c r="A83" s="44" t="s">
        <v>100</v>
      </c>
      <c r="B83" s="3" t="s">
        <v>105</v>
      </c>
      <c r="C83" s="4" t="s">
        <v>21</v>
      </c>
      <c r="D83" s="5">
        <v>3.0000000000000001E-3</v>
      </c>
      <c r="E83" s="6">
        <v>2490</v>
      </c>
      <c r="F83" s="7">
        <f>E83/41.5</f>
        <v>60</v>
      </c>
      <c r="G83" s="8">
        <f>D83*E83*350</f>
        <v>2614.5</v>
      </c>
      <c r="H83" s="9">
        <f>G83/41.5</f>
        <v>63</v>
      </c>
      <c r="I83" s="10" t="s">
        <v>22</v>
      </c>
    </row>
    <row r="84" spans="1:9" ht="4.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</row>
    <row r="85" spans="1:9" ht="18" customHeight="1" x14ac:dyDescent="0.25">
      <c r="A85" s="178" t="s">
        <v>106</v>
      </c>
      <c r="B85" s="178"/>
      <c r="C85" s="178"/>
      <c r="D85" s="178"/>
      <c r="E85" s="178"/>
      <c r="F85" s="178"/>
      <c r="G85" s="178"/>
      <c r="H85" s="178"/>
      <c r="I85" s="178"/>
    </row>
    <row r="86" spans="1:9" ht="15.75" customHeight="1" x14ac:dyDescent="0.25">
      <c r="A86" s="44" t="s">
        <v>100</v>
      </c>
      <c r="B86" s="3" t="s">
        <v>107</v>
      </c>
      <c r="C86" s="4" t="s">
        <v>40</v>
      </c>
      <c r="D86" s="5">
        <v>1.08</v>
      </c>
      <c r="E86" s="6">
        <v>913</v>
      </c>
      <c r="F86" s="7">
        <f>E86/41.5</f>
        <v>22</v>
      </c>
      <c r="G86" s="8">
        <f>D86*E86*60</f>
        <v>59162.400000000001</v>
      </c>
      <c r="H86" s="9">
        <f>G86/41.5</f>
        <v>1425.6000000000001</v>
      </c>
      <c r="I86" s="10" t="s">
        <v>108</v>
      </c>
    </row>
    <row r="87" spans="1:9" ht="15.75" customHeight="1" x14ac:dyDescent="0.25">
      <c r="A87" s="44" t="s">
        <v>100</v>
      </c>
      <c r="B87" s="3" t="s">
        <v>109</v>
      </c>
      <c r="C87" s="4" t="s">
        <v>18</v>
      </c>
      <c r="D87" s="5">
        <v>1.67</v>
      </c>
      <c r="E87" s="6">
        <v>178</v>
      </c>
      <c r="F87" s="7">
        <f>E87/41.5</f>
        <v>4.2891566265060241</v>
      </c>
      <c r="G87" s="8">
        <f>D87*E87*60</f>
        <v>17835.599999999999</v>
      </c>
      <c r="H87" s="9">
        <f>G87/41.5</f>
        <v>429.77349397590359</v>
      </c>
      <c r="I87" s="10" t="s">
        <v>110</v>
      </c>
    </row>
    <row r="88" spans="1:9" ht="15.75" customHeight="1" x14ac:dyDescent="0.25">
      <c r="A88" s="44" t="s">
        <v>100</v>
      </c>
      <c r="B88" s="3" t="s">
        <v>111</v>
      </c>
      <c r="C88" s="4" t="s">
        <v>18</v>
      </c>
      <c r="D88" s="5">
        <v>0.42</v>
      </c>
      <c r="E88" s="6">
        <v>228</v>
      </c>
      <c r="F88" s="7">
        <f>E88/41.5</f>
        <v>5.4939759036144578</v>
      </c>
      <c r="G88" s="8">
        <f>D88*E88*60</f>
        <v>5745.5999999999995</v>
      </c>
      <c r="H88" s="9">
        <f>G88/41.5</f>
        <v>138.44819277108434</v>
      </c>
      <c r="I88" s="10" t="s">
        <v>110</v>
      </c>
    </row>
    <row r="89" spans="1:9" ht="15.75" customHeight="1" x14ac:dyDescent="0.25">
      <c r="A89" s="44" t="s">
        <v>100</v>
      </c>
      <c r="B89" s="3" t="s">
        <v>112</v>
      </c>
      <c r="C89" s="4" t="s">
        <v>21</v>
      </c>
      <c r="D89" s="5">
        <v>1.7000000000000001E-2</v>
      </c>
      <c r="E89" s="6">
        <v>2075</v>
      </c>
      <c r="F89" s="7">
        <f>E89/41.5</f>
        <v>50</v>
      </c>
      <c r="G89" s="8">
        <f>D89*E89*60</f>
        <v>2116.5000000000005</v>
      </c>
      <c r="H89" s="9">
        <f>G89/41.5</f>
        <v>51.000000000000014</v>
      </c>
      <c r="I89" s="10" t="s">
        <v>22</v>
      </c>
    </row>
    <row r="90" spans="1:9" ht="4.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</row>
    <row r="91" spans="1:9" ht="18" customHeight="1" x14ac:dyDescent="0.25">
      <c r="A91" s="179" t="s">
        <v>113</v>
      </c>
      <c r="B91" s="179"/>
      <c r="C91" s="179"/>
      <c r="D91" s="179"/>
      <c r="E91" s="179"/>
      <c r="F91" s="179"/>
      <c r="G91" s="179"/>
      <c r="H91" s="179"/>
      <c r="I91" s="179"/>
    </row>
    <row r="92" spans="1:9" ht="15.75" customHeight="1" x14ac:dyDescent="0.25">
      <c r="A92" s="45" t="s">
        <v>114</v>
      </c>
      <c r="B92" s="46" t="s">
        <v>115</v>
      </c>
      <c r="C92" s="47" t="s">
        <v>40</v>
      </c>
      <c r="D92" s="48">
        <v>1.08</v>
      </c>
      <c r="E92" s="6">
        <v>913</v>
      </c>
      <c r="F92" s="49">
        <f>E92/41.5</f>
        <v>22</v>
      </c>
      <c r="G92" s="50">
        <f>D92*E92*30</f>
        <v>29581.200000000001</v>
      </c>
      <c r="H92" s="51">
        <f>G92/41.5</f>
        <v>712.80000000000007</v>
      </c>
      <c r="I92" s="52" t="s">
        <v>116</v>
      </c>
    </row>
    <row r="93" spans="1:9" ht="15.75" customHeight="1" x14ac:dyDescent="0.25">
      <c r="A93" s="45" t="s">
        <v>114</v>
      </c>
      <c r="B93" s="46" t="s">
        <v>117</v>
      </c>
      <c r="C93" s="47" t="s">
        <v>18</v>
      </c>
      <c r="D93" s="48">
        <v>2</v>
      </c>
      <c r="E93" s="6">
        <v>25</v>
      </c>
      <c r="F93" s="49">
        <f>E93/41.5</f>
        <v>0.60240963855421692</v>
      </c>
      <c r="G93" s="50">
        <f>D93*E93*30</f>
        <v>1500</v>
      </c>
      <c r="H93" s="51">
        <f>G93/41.5</f>
        <v>36.144578313253014</v>
      </c>
      <c r="I93" s="52" t="s">
        <v>19</v>
      </c>
    </row>
    <row r="94" spans="1:9" ht="15.75" customHeight="1" x14ac:dyDescent="0.25">
      <c r="A94" s="45" t="s">
        <v>114</v>
      </c>
      <c r="B94" s="46" t="s">
        <v>118</v>
      </c>
      <c r="C94" s="47" t="s">
        <v>18</v>
      </c>
      <c r="D94" s="48">
        <v>2.5</v>
      </c>
      <c r="E94" s="6">
        <v>178</v>
      </c>
      <c r="F94" s="49">
        <f>E94/41.5</f>
        <v>4.2891566265060241</v>
      </c>
      <c r="G94" s="50">
        <f>D94*E94*30</f>
        <v>13350</v>
      </c>
      <c r="H94" s="51">
        <f>G94/41.5</f>
        <v>321.68674698795184</v>
      </c>
      <c r="I94" s="52" t="s">
        <v>110</v>
      </c>
    </row>
    <row r="95" spans="1:9" ht="15.75" customHeight="1" x14ac:dyDescent="0.25">
      <c r="A95" s="45" t="s">
        <v>114</v>
      </c>
      <c r="B95" s="46" t="s">
        <v>111</v>
      </c>
      <c r="C95" s="47" t="s">
        <v>18</v>
      </c>
      <c r="D95" s="48">
        <v>0.4</v>
      </c>
      <c r="E95" s="6">
        <v>228</v>
      </c>
      <c r="F95" s="49">
        <f>E95/41.5</f>
        <v>5.4939759036144578</v>
      </c>
      <c r="G95" s="50">
        <f>D95*E95*30</f>
        <v>2736</v>
      </c>
      <c r="H95" s="51">
        <f>G95/41.5</f>
        <v>65.92771084337349</v>
      </c>
      <c r="I95" s="52" t="s">
        <v>110</v>
      </c>
    </row>
    <row r="96" spans="1:9" ht="4.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</row>
    <row r="97" spans="1:9" ht="18" customHeight="1" x14ac:dyDescent="0.25">
      <c r="A97" s="179" t="s">
        <v>119</v>
      </c>
      <c r="B97" s="179"/>
      <c r="C97" s="179"/>
      <c r="D97" s="179"/>
      <c r="E97" s="179"/>
      <c r="F97" s="179"/>
      <c r="G97" s="179"/>
      <c r="H97" s="179"/>
      <c r="I97" s="179"/>
    </row>
    <row r="98" spans="1:9" ht="15.75" customHeight="1" x14ac:dyDescent="0.25">
      <c r="A98" s="45" t="s">
        <v>114</v>
      </c>
      <c r="B98" s="46" t="s">
        <v>120</v>
      </c>
      <c r="C98" s="47" t="s">
        <v>40</v>
      </c>
      <c r="D98" s="48">
        <v>1.05</v>
      </c>
      <c r="E98" s="6">
        <v>1245</v>
      </c>
      <c r="F98" s="49">
        <f>E98/41.5</f>
        <v>30</v>
      </c>
      <c r="G98" s="50">
        <f>D98*E98*77</f>
        <v>100658.25</v>
      </c>
      <c r="H98" s="51">
        <f>G98/41.5</f>
        <v>2425.5</v>
      </c>
      <c r="I98" s="52" t="s">
        <v>121</v>
      </c>
    </row>
    <row r="99" spans="1:9" ht="15.75" customHeight="1" x14ac:dyDescent="0.25">
      <c r="A99" s="45" t="s">
        <v>114</v>
      </c>
      <c r="B99" s="46" t="s">
        <v>122</v>
      </c>
      <c r="C99" s="47" t="s">
        <v>28</v>
      </c>
      <c r="D99" s="48">
        <v>0.5</v>
      </c>
      <c r="E99" s="6">
        <v>207</v>
      </c>
      <c r="F99" s="49">
        <f>E99/41.5</f>
        <v>4.9879518072289155</v>
      </c>
      <c r="G99" s="50">
        <f>D99*E99*77</f>
        <v>7969.5</v>
      </c>
      <c r="H99" s="51">
        <f>G99/41.5</f>
        <v>192.03614457831324</v>
      </c>
      <c r="I99" s="52" t="s">
        <v>19</v>
      </c>
    </row>
    <row r="100" spans="1:9" ht="4.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</row>
    <row r="101" spans="1:9" ht="18" customHeight="1" x14ac:dyDescent="0.25">
      <c r="A101" s="175" t="s">
        <v>123</v>
      </c>
      <c r="B101" s="175"/>
      <c r="C101" s="175"/>
      <c r="D101" s="175"/>
      <c r="E101" s="175"/>
      <c r="F101" s="175"/>
      <c r="G101" s="175"/>
      <c r="H101" s="175"/>
      <c r="I101" s="175"/>
    </row>
    <row r="102" spans="1:9" ht="15.75" customHeight="1" x14ac:dyDescent="0.25">
      <c r="A102" s="53" t="s">
        <v>124</v>
      </c>
      <c r="B102" s="54" t="s">
        <v>125</v>
      </c>
      <c r="C102" s="55" t="s">
        <v>25</v>
      </c>
      <c r="D102" s="56">
        <v>1</v>
      </c>
      <c r="E102" s="6">
        <v>14518</v>
      </c>
      <c r="F102" s="57">
        <f>E102/41.5</f>
        <v>349.8313253012048</v>
      </c>
      <c r="G102" s="58">
        <f>D102*E102*10</f>
        <v>145180</v>
      </c>
      <c r="H102" s="59">
        <f>G102/41.5</f>
        <v>3498.3132530120483</v>
      </c>
      <c r="I102" s="60" t="s">
        <v>126</v>
      </c>
    </row>
    <row r="103" spans="1:9" ht="15.75" customHeight="1" x14ac:dyDescent="0.25">
      <c r="A103" s="53" t="s">
        <v>124</v>
      </c>
      <c r="B103" s="54" t="s">
        <v>127</v>
      </c>
      <c r="C103" s="55" t="s">
        <v>25</v>
      </c>
      <c r="D103" s="56">
        <v>1</v>
      </c>
      <c r="E103" s="6">
        <v>1162</v>
      </c>
      <c r="F103" s="57">
        <f>E103/41.5</f>
        <v>28</v>
      </c>
      <c r="G103" s="58">
        <f>D103*E103*10</f>
        <v>11620</v>
      </c>
      <c r="H103" s="59">
        <f>G103/41.5</f>
        <v>280</v>
      </c>
      <c r="I103" s="60" t="s">
        <v>19</v>
      </c>
    </row>
    <row r="104" spans="1:9" ht="15.75" customHeight="1" x14ac:dyDescent="0.25">
      <c r="A104" s="53" t="s">
        <v>124</v>
      </c>
      <c r="B104" s="54" t="s">
        <v>128</v>
      </c>
      <c r="C104" s="55" t="s">
        <v>21</v>
      </c>
      <c r="D104" s="56">
        <v>0.1</v>
      </c>
      <c r="E104" s="6">
        <v>2075</v>
      </c>
      <c r="F104" s="57">
        <f>E104/41.5</f>
        <v>50</v>
      </c>
      <c r="G104" s="58">
        <f>D104*E104*10</f>
        <v>2075</v>
      </c>
      <c r="H104" s="59">
        <f>G104/41.5</f>
        <v>50</v>
      </c>
      <c r="I104" s="60" t="s">
        <v>22</v>
      </c>
    </row>
    <row r="105" spans="1:9" ht="15.75" customHeight="1" x14ac:dyDescent="0.25">
      <c r="A105" s="53" t="s">
        <v>124</v>
      </c>
      <c r="B105" s="54" t="s">
        <v>129</v>
      </c>
      <c r="C105" s="55" t="s">
        <v>21</v>
      </c>
      <c r="D105" s="56">
        <v>0.1</v>
      </c>
      <c r="E105" s="6">
        <v>1660</v>
      </c>
      <c r="F105" s="57">
        <f>E105/41.5</f>
        <v>40</v>
      </c>
      <c r="G105" s="58">
        <f>D105*E105*10</f>
        <v>1660</v>
      </c>
      <c r="H105" s="59">
        <f>G105/41.5</f>
        <v>40</v>
      </c>
      <c r="I105" s="60" t="s">
        <v>22</v>
      </c>
    </row>
    <row r="106" spans="1:9" ht="4.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</row>
    <row r="107" spans="1:9" ht="18" customHeight="1" x14ac:dyDescent="0.25">
      <c r="A107" s="175" t="s">
        <v>130</v>
      </c>
      <c r="B107" s="175"/>
      <c r="C107" s="175"/>
      <c r="D107" s="175"/>
      <c r="E107" s="175"/>
      <c r="F107" s="175"/>
      <c r="G107" s="175"/>
      <c r="H107" s="175"/>
      <c r="I107" s="175"/>
    </row>
    <row r="108" spans="1:9" ht="15.75" customHeight="1" x14ac:dyDescent="0.25">
      <c r="A108" s="53" t="s">
        <v>124</v>
      </c>
      <c r="B108" s="54" t="s">
        <v>131</v>
      </c>
      <c r="C108" s="55" t="s">
        <v>25</v>
      </c>
      <c r="D108" s="56">
        <v>1</v>
      </c>
      <c r="E108" s="6">
        <v>6225</v>
      </c>
      <c r="F108" s="57">
        <f>E108/41.5</f>
        <v>150</v>
      </c>
      <c r="G108" s="58">
        <f>D108*E108*7</f>
        <v>43575</v>
      </c>
      <c r="H108" s="59">
        <f>G108/41.5</f>
        <v>1050</v>
      </c>
      <c r="I108" s="60" t="s">
        <v>19</v>
      </c>
    </row>
    <row r="109" spans="1:9" ht="15.75" customHeight="1" x14ac:dyDescent="0.25">
      <c r="A109" s="53" t="s">
        <v>124</v>
      </c>
      <c r="B109" s="54" t="s">
        <v>132</v>
      </c>
      <c r="C109" s="55" t="s">
        <v>133</v>
      </c>
      <c r="D109" s="56">
        <v>1</v>
      </c>
      <c r="E109" s="6">
        <v>747</v>
      </c>
      <c r="F109" s="57">
        <f>E109/41.5</f>
        <v>18</v>
      </c>
      <c r="G109" s="58">
        <f>D109*E109*7</f>
        <v>5229</v>
      </c>
      <c r="H109" s="59">
        <f>G109/41.5</f>
        <v>126</v>
      </c>
      <c r="I109" s="60" t="s">
        <v>19</v>
      </c>
    </row>
    <row r="110" spans="1:9" ht="15.75" customHeight="1" x14ac:dyDescent="0.25">
      <c r="A110" s="53" t="s">
        <v>124</v>
      </c>
      <c r="B110" s="54" t="s">
        <v>134</v>
      </c>
      <c r="C110" s="55" t="s">
        <v>25</v>
      </c>
      <c r="D110" s="56">
        <v>1</v>
      </c>
      <c r="E110" s="6">
        <v>125</v>
      </c>
      <c r="F110" s="57">
        <f>E110/41.5</f>
        <v>3.0120481927710845</v>
      </c>
      <c r="G110" s="58">
        <f>D110*E110*7</f>
        <v>875</v>
      </c>
      <c r="H110" s="59">
        <f>G110/41.5</f>
        <v>21.08433734939759</v>
      </c>
      <c r="I110" s="60" t="s">
        <v>22</v>
      </c>
    </row>
    <row r="111" spans="1:9" ht="4.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</row>
    <row r="112" spans="1:9" ht="18" customHeight="1" x14ac:dyDescent="0.25">
      <c r="A112" s="175" t="s">
        <v>135</v>
      </c>
      <c r="B112" s="175"/>
      <c r="C112" s="175"/>
      <c r="D112" s="175"/>
      <c r="E112" s="175"/>
      <c r="F112" s="175"/>
      <c r="G112" s="175"/>
      <c r="H112" s="175"/>
      <c r="I112" s="175"/>
    </row>
    <row r="113" spans="1:9" ht="15.75" customHeight="1" x14ac:dyDescent="0.25">
      <c r="A113" s="53" t="s">
        <v>124</v>
      </c>
      <c r="B113" s="54" t="s">
        <v>136</v>
      </c>
      <c r="C113" s="55" t="s">
        <v>25</v>
      </c>
      <c r="D113" s="56">
        <v>1</v>
      </c>
      <c r="E113" s="6">
        <v>25726</v>
      </c>
      <c r="F113" s="57">
        <f>E113/41.5</f>
        <v>619.90361445783128</v>
      </c>
      <c r="G113" s="58">
        <f>D113*E113*1</f>
        <v>25726</v>
      </c>
      <c r="H113" s="59">
        <f>G113/41.5</f>
        <v>619.90361445783128</v>
      </c>
      <c r="I113" s="60" t="s">
        <v>137</v>
      </c>
    </row>
    <row r="114" spans="1:9" ht="15.75" customHeight="1" x14ac:dyDescent="0.25">
      <c r="A114" s="53" t="s">
        <v>124</v>
      </c>
      <c r="B114" s="54" t="s">
        <v>138</v>
      </c>
      <c r="C114" s="55" t="s">
        <v>25</v>
      </c>
      <c r="D114" s="56">
        <v>1</v>
      </c>
      <c r="E114" s="6">
        <v>3113</v>
      </c>
      <c r="F114" s="57">
        <f>E114/41.5</f>
        <v>75.01204819277109</v>
      </c>
      <c r="G114" s="58">
        <f>D114*E114*1</f>
        <v>3113</v>
      </c>
      <c r="H114" s="59">
        <f>G114/41.5</f>
        <v>75.01204819277109</v>
      </c>
      <c r="I114" s="60" t="s">
        <v>19</v>
      </c>
    </row>
    <row r="115" spans="1:9" ht="15.75" customHeight="1" x14ac:dyDescent="0.25">
      <c r="A115" s="53" t="s">
        <v>124</v>
      </c>
      <c r="B115" s="54" t="s">
        <v>139</v>
      </c>
      <c r="C115" s="55" t="s">
        <v>21</v>
      </c>
      <c r="D115" s="56">
        <v>1</v>
      </c>
      <c r="E115" s="6">
        <v>830</v>
      </c>
      <c r="F115" s="57">
        <f>E115/41.5</f>
        <v>20</v>
      </c>
      <c r="G115" s="58">
        <f>D115*E115*1</f>
        <v>830</v>
      </c>
      <c r="H115" s="59">
        <f>G115/41.5</f>
        <v>20</v>
      </c>
      <c r="I115" s="60" t="s">
        <v>22</v>
      </c>
    </row>
    <row r="116" spans="1:9" ht="4.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</row>
    <row r="117" spans="1:9" ht="18" customHeight="1" x14ac:dyDescent="0.25">
      <c r="A117" s="176" t="s">
        <v>140</v>
      </c>
      <c r="B117" s="176"/>
      <c r="C117" s="176"/>
      <c r="D117" s="176"/>
      <c r="E117" s="176"/>
      <c r="F117" s="176"/>
      <c r="G117" s="176"/>
      <c r="H117" s="176"/>
      <c r="I117" s="176"/>
    </row>
    <row r="118" spans="1:9" ht="15.75" customHeight="1" x14ac:dyDescent="0.25">
      <c r="A118" s="61" t="s">
        <v>141</v>
      </c>
      <c r="B118" s="62" t="s">
        <v>142</v>
      </c>
      <c r="C118" s="63" t="s">
        <v>28</v>
      </c>
      <c r="D118" s="64">
        <v>60</v>
      </c>
      <c r="E118" s="6">
        <v>133</v>
      </c>
      <c r="F118" s="65">
        <f t="shared" ref="F118:F126" si="3">E118/41.5</f>
        <v>3.2048192771084336</v>
      </c>
      <c r="G118" s="66">
        <f t="shared" ref="G118:G126" si="4">D118*E118*1</f>
        <v>7980</v>
      </c>
      <c r="H118" s="67">
        <f t="shared" ref="H118:H126" si="5">G118/41.5</f>
        <v>192.28915662650601</v>
      </c>
      <c r="I118" s="68" t="s">
        <v>143</v>
      </c>
    </row>
    <row r="119" spans="1:9" ht="15.75" customHeight="1" x14ac:dyDescent="0.25">
      <c r="A119" s="61" t="s">
        <v>141</v>
      </c>
      <c r="B119" s="62" t="s">
        <v>144</v>
      </c>
      <c r="C119" s="63" t="s">
        <v>28</v>
      </c>
      <c r="D119" s="64">
        <v>40</v>
      </c>
      <c r="E119" s="6">
        <v>158</v>
      </c>
      <c r="F119" s="65">
        <f t="shared" si="3"/>
        <v>3.8072289156626504</v>
      </c>
      <c r="G119" s="66">
        <f t="shared" si="4"/>
        <v>6320</v>
      </c>
      <c r="H119" s="67">
        <f t="shared" si="5"/>
        <v>152.28915662650601</v>
      </c>
      <c r="I119" s="68" t="s">
        <v>145</v>
      </c>
    </row>
    <row r="120" spans="1:9" ht="15.75" customHeight="1" x14ac:dyDescent="0.25">
      <c r="A120" s="61" t="s">
        <v>141</v>
      </c>
      <c r="B120" s="62" t="s">
        <v>146</v>
      </c>
      <c r="C120" s="63" t="s">
        <v>28</v>
      </c>
      <c r="D120" s="64">
        <v>30</v>
      </c>
      <c r="E120" s="6">
        <v>228</v>
      </c>
      <c r="F120" s="65">
        <f t="shared" si="3"/>
        <v>5.4939759036144578</v>
      </c>
      <c r="G120" s="66">
        <f t="shared" si="4"/>
        <v>6840</v>
      </c>
      <c r="H120" s="67">
        <f t="shared" si="5"/>
        <v>164.81927710843374</v>
      </c>
      <c r="I120" s="68" t="s">
        <v>147</v>
      </c>
    </row>
    <row r="121" spans="1:9" ht="15.75" customHeight="1" x14ac:dyDescent="0.25">
      <c r="A121" s="61" t="s">
        <v>141</v>
      </c>
      <c r="B121" s="62" t="s">
        <v>148</v>
      </c>
      <c r="C121" s="63" t="s">
        <v>28</v>
      </c>
      <c r="D121" s="64">
        <v>25</v>
      </c>
      <c r="E121" s="6">
        <v>145</v>
      </c>
      <c r="F121" s="65">
        <f t="shared" si="3"/>
        <v>3.4939759036144578</v>
      </c>
      <c r="G121" s="66">
        <f t="shared" si="4"/>
        <v>3625</v>
      </c>
      <c r="H121" s="67">
        <f t="shared" si="5"/>
        <v>87.349397590361448</v>
      </c>
      <c r="I121" s="68" t="s">
        <v>19</v>
      </c>
    </row>
    <row r="122" spans="1:9" ht="15.75" customHeight="1" x14ac:dyDescent="0.25">
      <c r="A122" s="61" t="s">
        <v>141</v>
      </c>
      <c r="B122" s="62" t="s">
        <v>149</v>
      </c>
      <c r="C122" s="63" t="s">
        <v>28</v>
      </c>
      <c r="D122" s="64">
        <v>12</v>
      </c>
      <c r="E122" s="6">
        <v>145</v>
      </c>
      <c r="F122" s="65">
        <f t="shared" si="3"/>
        <v>3.4939759036144578</v>
      </c>
      <c r="G122" s="66">
        <f t="shared" si="4"/>
        <v>1740</v>
      </c>
      <c r="H122" s="67">
        <f t="shared" si="5"/>
        <v>41.927710843373497</v>
      </c>
      <c r="I122" s="68" t="s">
        <v>19</v>
      </c>
    </row>
    <row r="123" spans="1:9" ht="15.75" customHeight="1" x14ac:dyDescent="0.25">
      <c r="A123" s="61" t="s">
        <v>141</v>
      </c>
      <c r="B123" s="62" t="s">
        <v>150</v>
      </c>
      <c r="C123" s="63" t="s">
        <v>21</v>
      </c>
      <c r="D123" s="64">
        <v>1</v>
      </c>
      <c r="E123" s="6">
        <v>13280</v>
      </c>
      <c r="F123" s="65">
        <f t="shared" si="3"/>
        <v>320</v>
      </c>
      <c r="G123" s="66">
        <f t="shared" si="4"/>
        <v>13280</v>
      </c>
      <c r="H123" s="67">
        <f t="shared" si="5"/>
        <v>320</v>
      </c>
      <c r="I123" s="68" t="s">
        <v>22</v>
      </c>
    </row>
    <row r="124" spans="1:9" ht="15.75" customHeight="1" x14ac:dyDescent="0.25">
      <c r="A124" s="61" t="s">
        <v>141</v>
      </c>
      <c r="B124" s="62" t="s">
        <v>151</v>
      </c>
      <c r="C124" s="63" t="s">
        <v>25</v>
      </c>
      <c r="D124" s="64">
        <v>3</v>
      </c>
      <c r="E124" s="6">
        <v>1577</v>
      </c>
      <c r="F124" s="65">
        <f t="shared" si="3"/>
        <v>38</v>
      </c>
      <c r="G124" s="66">
        <f t="shared" si="4"/>
        <v>4731</v>
      </c>
      <c r="H124" s="67">
        <f t="shared" si="5"/>
        <v>114</v>
      </c>
      <c r="I124" s="68" t="s">
        <v>19</v>
      </c>
    </row>
    <row r="125" spans="1:9" ht="15.75" customHeight="1" x14ac:dyDescent="0.25">
      <c r="A125" s="61" t="s">
        <v>141</v>
      </c>
      <c r="B125" s="62" t="s">
        <v>152</v>
      </c>
      <c r="C125" s="63" t="s">
        <v>25</v>
      </c>
      <c r="D125" s="64">
        <v>1</v>
      </c>
      <c r="E125" s="6">
        <v>11620</v>
      </c>
      <c r="F125" s="65">
        <f t="shared" si="3"/>
        <v>280</v>
      </c>
      <c r="G125" s="66">
        <f t="shared" si="4"/>
        <v>11620</v>
      </c>
      <c r="H125" s="67">
        <f t="shared" si="5"/>
        <v>280</v>
      </c>
      <c r="I125" s="68" t="s">
        <v>153</v>
      </c>
    </row>
    <row r="126" spans="1:9" ht="15.75" customHeight="1" x14ac:dyDescent="0.25">
      <c r="A126" s="61" t="s">
        <v>141</v>
      </c>
      <c r="B126" s="62" t="s">
        <v>154</v>
      </c>
      <c r="C126" s="63" t="s">
        <v>25</v>
      </c>
      <c r="D126" s="64">
        <v>1</v>
      </c>
      <c r="E126" s="6">
        <v>6225</v>
      </c>
      <c r="F126" s="65">
        <f t="shared" si="3"/>
        <v>150</v>
      </c>
      <c r="G126" s="66">
        <f t="shared" si="4"/>
        <v>6225</v>
      </c>
      <c r="H126" s="67">
        <f t="shared" si="5"/>
        <v>150</v>
      </c>
      <c r="I126" s="68" t="s">
        <v>155</v>
      </c>
    </row>
    <row r="127" spans="1:9" ht="4.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</row>
    <row r="128" spans="1:9" ht="18" customHeight="1" x14ac:dyDescent="0.25">
      <c r="A128" s="176" t="s">
        <v>156</v>
      </c>
      <c r="B128" s="176"/>
      <c r="C128" s="176"/>
      <c r="D128" s="176"/>
      <c r="E128" s="176"/>
      <c r="F128" s="176"/>
      <c r="G128" s="176"/>
      <c r="H128" s="176"/>
      <c r="I128" s="176"/>
    </row>
    <row r="129" spans="1:9" ht="15.75" customHeight="1" x14ac:dyDescent="0.25">
      <c r="A129" s="61" t="s">
        <v>141</v>
      </c>
      <c r="B129" s="62" t="s">
        <v>157</v>
      </c>
      <c r="C129" s="63" t="s">
        <v>25</v>
      </c>
      <c r="D129" s="64">
        <v>1</v>
      </c>
      <c r="E129" s="6">
        <v>9960</v>
      </c>
      <c r="F129" s="65">
        <f t="shared" ref="F129:F137" si="6">E129/41.5</f>
        <v>240</v>
      </c>
      <c r="G129" s="66">
        <f t="shared" ref="G129:G137" si="7">D129*E129*1</f>
        <v>9960</v>
      </c>
      <c r="H129" s="67">
        <f t="shared" ref="H129:H137" si="8">G129/41.5</f>
        <v>240</v>
      </c>
      <c r="I129" s="68" t="s">
        <v>158</v>
      </c>
    </row>
    <row r="130" spans="1:9" ht="15.75" customHeight="1" x14ac:dyDescent="0.25">
      <c r="A130" s="61" t="s">
        <v>141</v>
      </c>
      <c r="B130" s="62" t="s">
        <v>159</v>
      </c>
      <c r="C130" s="63" t="s">
        <v>28</v>
      </c>
      <c r="D130" s="64">
        <v>300</v>
      </c>
      <c r="E130" s="6">
        <v>62</v>
      </c>
      <c r="F130" s="65">
        <f t="shared" si="6"/>
        <v>1.4939759036144578</v>
      </c>
      <c r="G130" s="66">
        <f t="shared" si="7"/>
        <v>18600</v>
      </c>
      <c r="H130" s="67">
        <f t="shared" si="8"/>
        <v>448.19277108433732</v>
      </c>
      <c r="I130" s="68" t="s">
        <v>160</v>
      </c>
    </row>
    <row r="131" spans="1:9" ht="15.75" customHeight="1" x14ac:dyDescent="0.25">
      <c r="A131" s="61" t="s">
        <v>141</v>
      </c>
      <c r="B131" s="62" t="s">
        <v>161</v>
      </c>
      <c r="C131" s="63" t="s">
        <v>28</v>
      </c>
      <c r="D131" s="64">
        <v>200</v>
      </c>
      <c r="E131" s="6">
        <v>83</v>
      </c>
      <c r="F131" s="65">
        <f t="shared" si="6"/>
        <v>2</v>
      </c>
      <c r="G131" s="66">
        <f t="shared" si="7"/>
        <v>16600</v>
      </c>
      <c r="H131" s="67">
        <f t="shared" si="8"/>
        <v>400</v>
      </c>
      <c r="I131" s="68" t="s">
        <v>162</v>
      </c>
    </row>
    <row r="132" spans="1:9" ht="15.75" customHeight="1" x14ac:dyDescent="0.25">
      <c r="A132" s="61" t="s">
        <v>141</v>
      </c>
      <c r="B132" s="62" t="s">
        <v>163</v>
      </c>
      <c r="C132" s="63" t="s">
        <v>28</v>
      </c>
      <c r="D132" s="64">
        <v>60</v>
      </c>
      <c r="E132" s="6">
        <v>116</v>
      </c>
      <c r="F132" s="65">
        <f t="shared" si="6"/>
        <v>2.7951807228915664</v>
      </c>
      <c r="G132" s="66">
        <f t="shared" si="7"/>
        <v>6960</v>
      </c>
      <c r="H132" s="67">
        <f t="shared" si="8"/>
        <v>167.71084337349399</v>
      </c>
      <c r="I132" s="68" t="s">
        <v>164</v>
      </c>
    </row>
    <row r="133" spans="1:9" ht="15.75" customHeight="1" x14ac:dyDescent="0.25">
      <c r="A133" s="61" t="s">
        <v>141</v>
      </c>
      <c r="B133" s="62" t="s">
        <v>165</v>
      </c>
      <c r="C133" s="63" t="s">
        <v>28</v>
      </c>
      <c r="D133" s="64">
        <v>400</v>
      </c>
      <c r="E133" s="6">
        <v>21</v>
      </c>
      <c r="F133" s="65">
        <f t="shared" si="6"/>
        <v>0.50602409638554213</v>
      </c>
      <c r="G133" s="66">
        <f t="shared" si="7"/>
        <v>8400</v>
      </c>
      <c r="H133" s="67">
        <f t="shared" si="8"/>
        <v>202.40963855421685</v>
      </c>
      <c r="I133" s="68" t="s">
        <v>19</v>
      </c>
    </row>
    <row r="134" spans="1:9" ht="15.75" customHeight="1" x14ac:dyDescent="0.25">
      <c r="A134" s="61" t="s">
        <v>141</v>
      </c>
      <c r="B134" s="62" t="s">
        <v>166</v>
      </c>
      <c r="C134" s="63" t="s">
        <v>25</v>
      </c>
      <c r="D134" s="64">
        <v>80</v>
      </c>
      <c r="E134" s="6">
        <v>42</v>
      </c>
      <c r="F134" s="65">
        <f t="shared" si="6"/>
        <v>1.0120481927710843</v>
      </c>
      <c r="G134" s="66">
        <f t="shared" si="7"/>
        <v>3360</v>
      </c>
      <c r="H134" s="67">
        <f t="shared" si="8"/>
        <v>80.963855421686745</v>
      </c>
      <c r="I134" s="68" t="s">
        <v>19</v>
      </c>
    </row>
    <row r="135" spans="1:9" ht="15.75" customHeight="1" x14ac:dyDescent="0.25">
      <c r="A135" s="61" t="s">
        <v>141</v>
      </c>
      <c r="B135" s="62" t="s">
        <v>167</v>
      </c>
      <c r="C135" s="63" t="s">
        <v>25</v>
      </c>
      <c r="D135" s="64">
        <v>30</v>
      </c>
      <c r="E135" s="6">
        <v>290</v>
      </c>
      <c r="F135" s="65">
        <f t="shared" si="6"/>
        <v>6.9879518072289155</v>
      </c>
      <c r="G135" s="66">
        <f t="shared" si="7"/>
        <v>8700</v>
      </c>
      <c r="H135" s="67">
        <f t="shared" si="8"/>
        <v>209.63855421686748</v>
      </c>
      <c r="I135" s="68" t="s">
        <v>168</v>
      </c>
    </row>
    <row r="136" spans="1:9" ht="15.75" customHeight="1" x14ac:dyDescent="0.25">
      <c r="A136" s="61" t="s">
        <v>141</v>
      </c>
      <c r="B136" s="62" t="s">
        <v>169</v>
      </c>
      <c r="C136" s="63" t="s">
        <v>25</v>
      </c>
      <c r="D136" s="64">
        <v>25</v>
      </c>
      <c r="E136" s="6">
        <v>249</v>
      </c>
      <c r="F136" s="65">
        <f t="shared" si="6"/>
        <v>6</v>
      </c>
      <c r="G136" s="66">
        <f t="shared" si="7"/>
        <v>6225</v>
      </c>
      <c r="H136" s="67">
        <f t="shared" si="8"/>
        <v>150</v>
      </c>
      <c r="I136" s="68" t="s">
        <v>170</v>
      </c>
    </row>
    <row r="137" spans="1:9" ht="15.75" customHeight="1" x14ac:dyDescent="0.25">
      <c r="A137" s="61" t="s">
        <v>141</v>
      </c>
      <c r="B137" s="62" t="s">
        <v>171</v>
      </c>
      <c r="C137" s="63" t="s">
        <v>25</v>
      </c>
      <c r="D137" s="64">
        <v>30</v>
      </c>
      <c r="E137" s="6">
        <v>166</v>
      </c>
      <c r="F137" s="65">
        <f t="shared" si="6"/>
        <v>4</v>
      </c>
      <c r="G137" s="66">
        <f t="shared" si="7"/>
        <v>4980</v>
      </c>
      <c r="H137" s="67">
        <f t="shared" si="8"/>
        <v>120</v>
      </c>
      <c r="I137" s="68" t="s">
        <v>172</v>
      </c>
    </row>
    <row r="138" spans="1:9" ht="4.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</row>
    <row r="139" spans="1:9" ht="18" customHeight="1" x14ac:dyDescent="0.25">
      <c r="A139" s="173" t="s">
        <v>173</v>
      </c>
      <c r="B139" s="173"/>
      <c r="C139" s="173"/>
      <c r="D139" s="173"/>
      <c r="E139" s="173"/>
      <c r="F139" s="173"/>
      <c r="G139" s="173"/>
      <c r="H139" s="173"/>
      <c r="I139" s="173"/>
    </row>
    <row r="140" spans="1:9" ht="15.75" customHeight="1" x14ac:dyDescent="0.25">
      <c r="A140" s="69" t="s">
        <v>174</v>
      </c>
      <c r="B140" s="70" t="s">
        <v>175</v>
      </c>
      <c r="C140" s="71" t="s">
        <v>25</v>
      </c>
      <c r="D140" s="72">
        <v>3</v>
      </c>
      <c r="E140" s="6">
        <v>4980</v>
      </c>
      <c r="F140" s="73">
        <f>E140/41.5</f>
        <v>120</v>
      </c>
      <c r="G140" s="74">
        <f>D140*E140*1</f>
        <v>14940</v>
      </c>
      <c r="H140" s="75">
        <f>G140/41.5</f>
        <v>360</v>
      </c>
      <c r="I140" s="76" t="s">
        <v>19</v>
      </c>
    </row>
    <row r="141" spans="1:9" ht="15.75" customHeight="1" x14ac:dyDescent="0.25">
      <c r="A141" s="69" t="s">
        <v>174</v>
      </c>
      <c r="B141" s="70" t="s">
        <v>176</v>
      </c>
      <c r="C141" s="71" t="s">
        <v>25</v>
      </c>
      <c r="D141" s="72">
        <v>3</v>
      </c>
      <c r="E141" s="6">
        <v>2905</v>
      </c>
      <c r="F141" s="73">
        <f>E141/41.5</f>
        <v>70</v>
      </c>
      <c r="G141" s="74">
        <f>D141*E141*1</f>
        <v>8715</v>
      </c>
      <c r="H141" s="75">
        <f>G141/41.5</f>
        <v>210</v>
      </c>
      <c r="I141" s="76" t="s">
        <v>19</v>
      </c>
    </row>
    <row r="142" spans="1:9" ht="15.75" customHeight="1" x14ac:dyDescent="0.25">
      <c r="A142" s="69" t="s">
        <v>174</v>
      </c>
      <c r="B142" s="70" t="s">
        <v>177</v>
      </c>
      <c r="C142" s="71" t="s">
        <v>133</v>
      </c>
      <c r="D142" s="72">
        <v>3</v>
      </c>
      <c r="E142" s="6">
        <v>4150</v>
      </c>
      <c r="F142" s="73">
        <f>E142/41.5</f>
        <v>100</v>
      </c>
      <c r="G142" s="74">
        <f>D142*E142*1</f>
        <v>12450</v>
      </c>
      <c r="H142" s="75">
        <f>G142/41.5</f>
        <v>300</v>
      </c>
      <c r="I142" s="76" t="s">
        <v>19</v>
      </c>
    </row>
    <row r="143" spans="1:9" ht="15.75" customHeight="1" x14ac:dyDescent="0.25">
      <c r="A143" s="69" t="s">
        <v>174</v>
      </c>
      <c r="B143" s="70" t="s">
        <v>178</v>
      </c>
      <c r="C143" s="71" t="s">
        <v>25</v>
      </c>
      <c r="D143" s="72">
        <v>3</v>
      </c>
      <c r="E143" s="6">
        <v>2075</v>
      </c>
      <c r="F143" s="73">
        <f>E143/41.5</f>
        <v>50</v>
      </c>
      <c r="G143" s="74">
        <f>D143*E143*1</f>
        <v>6225</v>
      </c>
      <c r="H143" s="75">
        <f>G143/41.5</f>
        <v>150</v>
      </c>
      <c r="I143" s="76" t="s">
        <v>19</v>
      </c>
    </row>
    <row r="144" spans="1:9" ht="4.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</row>
    <row r="145" spans="1:9" ht="18" customHeight="1" x14ac:dyDescent="0.25">
      <c r="A145" s="173" t="s">
        <v>179</v>
      </c>
      <c r="B145" s="173"/>
      <c r="C145" s="173"/>
      <c r="D145" s="173"/>
      <c r="E145" s="173"/>
      <c r="F145" s="173"/>
      <c r="G145" s="173"/>
      <c r="H145" s="173"/>
      <c r="I145" s="173"/>
    </row>
    <row r="146" spans="1:9" ht="15.75" customHeight="1" x14ac:dyDescent="0.25">
      <c r="A146" s="69" t="s">
        <v>174</v>
      </c>
      <c r="B146" s="70" t="s">
        <v>180</v>
      </c>
      <c r="C146" s="71" t="s">
        <v>28</v>
      </c>
      <c r="D146" s="72">
        <v>3</v>
      </c>
      <c r="E146" s="6">
        <v>7053</v>
      </c>
      <c r="F146" s="73">
        <f>E146/41.5</f>
        <v>169.95180722891567</v>
      </c>
      <c r="G146" s="74">
        <f>D146*E146*1</f>
        <v>21159</v>
      </c>
      <c r="H146" s="75">
        <f>G146/41.5</f>
        <v>509.85542168674698</v>
      </c>
      <c r="I146" s="76" t="s">
        <v>181</v>
      </c>
    </row>
    <row r="147" spans="1:9" ht="4.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</row>
    <row r="148" spans="1:9" ht="18" customHeight="1" x14ac:dyDescent="0.25">
      <c r="A148" s="174" t="s">
        <v>182</v>
      </c>
      <c r="B148" s="174"/>
      <c r="C148" s="174"/>
      <c r="D148" s="174"/>
      <c r="E148" s="174"/>
      <c r="F148" s="174"/>
      <c r="G148" s="174"/>
      <c r="H148" s="174"/>
      <c r="I148" s="174"/>
    </row>
    <row r="149" spans="1:9" ht="15.75" customHeight="1" x14ac:dyDescent="0.25">
      <c r="A149" s="77" t="s">
        <v>183</v>
      </c>
      <c r="B149" s="78" t="s">
        <v>184</v>
      </c>
      <c r="C149" s="79" t="s">
        <v>25</v>
      </c>
      <c r="D149" s="80">
        <v>200</v>
      </c>
      <c r="E149" s="6">
        <v>91</v>
      </c>
      <c r="F149" s="81">
        <f t="shared" ref="F149:F154" si="9">E149/41.5</f>
        <v>2.1927710843373496</v>
      </c>
      <c r="G149" s="82">
        <f t="shared" ref="G149:G154" si="10">D149*E149*1</f>
        <v>18200</v>
      </c>
      <c r="H149" s="83">
        <f t="shared" ref="H149:H154" si="11">G149/41.5</f>
        <v>438.5542168674699</v>
      </c>
      <c r="I149" s="84" t="s">
        <v>185</v>
      </c>
    </row>
    <row r="150" spans="1:9" ht="15.75" customHeight="1" x14ac:dyDescent="0.25">
      <c r="A150" s="77" t="s">
        <v>183</v>
      </c>
      <c r="B150" s="78" t="s">
        <v>186</v>
      </c>
      <c r="C150" s="79" t="s">
        <v>25</v>
      </c>
      <c r="D150" s="80">
        <v>300</v>
      </c>
      <c r="E150" s="6">
        <v>29</v>
      </c>
      <c r="F150" s="81">
        <f t="shared" si="9"/>
        <v>0.6987951807228916</v>
      </c>
      <c r="G150" s="82">
        <f t="shared" si="10"/>
        <v>8700</v>
      </c>
      <c r="H150" s="83">
        <f t="shared" si="11"/>
        <v>209.63855421686748</v>
      </c>
      <c r="I150" s="84" t="s">
        <v>187</v>
      </c>
    </row>
    <row r="151" spans="1:9" ht="15.75" customHeight="1" x14ac:dyDescent="0.25">
      <c r="A151" s="77" t="s">
        <v>183</v>
      </c>
      <c r="B151" s="78" t="s">
        <v>188</v>
      </c>
      <c r="C151" s="79" t="s">
        <v>189</v>
      </c>
      <c r="D151" s="80">
        <v>4</v>
      </c>
      <c r="E151" s="6">
        <v>747</v>
      </c>
      <c r="F151" s="81">
        <f t="shared" si="9"/>
        <v>18</v>
      </c>
      <c r="G151" s="82">
        <f t="shared" si="10"/>
        <v>2988</v>
      </c>
      <c r="H151" s="83">
        <f t="shared" si="11"/>
        <v>72</v>
      </c>
      <c r="I151" s="84" t="s">
        <v>190</v>
      </c>
    </row>
    <row r="152" spans="1:9" ht="15.75" customHeight="1" x14ac:dyDescent="0.25">
      <c r="A152" s="77" t="s">
        <v>183</v>
      </c>
      <c r="B152" s="78" t="s">
        <v>191</v>
      </c>
      <c r="C152" s="79" t="s">
        <v>25</v>
      </c>
      <c r="D152" s="80">
        <v>1</v>
      </c>
      <c r="E152" s="6">
        <v>3113</v>
      </c>
      <c r="F152" s="81">
        <f t="shared" si="9"/>
        <v>75.01204819277109</v>
      </c>
      <c r="G152" s="82">
        <f t="shared" si="10"/>
        <v>3113</v>
      </c>
      <c r="H152" s="83">
        <f t="shared" si="11"/>
        <v>75.01204819277109</v>
      </c>
      <c r="I152" s="84" t="s">
        <v>192</v>
      </c>
    </row>
    <row r="153" spans="1:9" ht="15.75" customHeight="1" x14ac:dyDescent="0.25">
      <c r="A153" s="77" t="s">
        <v>183</v>
      </c>
      <c r="B153" s="78" t="s">
        <v>193</v>
      </c>
      <c r="C153" s="79" t="s">
        <v>25</v>
      </c>
      <c r="D153" s="80">
        <v>1</v>
      </c>
      <c r="E153" s="6">
        <v>6225</v>
      </c>
      <c r="F153" s="81">
        <f t="shared" si="9"/>
        <v>150</v>
      </c>
      <c r="G153" s="82">
        <f t="shared" si="10"/>
        <v>6225</v>
      </c>
      <c r="H153" s="83">
        <f t="shared" si="11"/>
        <v>150</v>
      </c>
      <c r="I153" s="84" t="s">
        <v>155</v>
      </c>
    </row>
    <row r="154" spans="1:9" ht="15.75" customHeight="1" x14ac:dyDescent="0.25">
      <c r="A154" s="77" t="s">
        <v>183</v>
      </c>
      <c r="B154" s="78" t="s">
        <v>194</v>
      </c>
      <c r="C154" s="79" t="s">
        <v>25</v>
      </c>
      <c r="D154" s="80">
        <v>1</v>
      </c>
      <c r="E154" s="6">
        <v>1577</v>
      </c>
      <c r="F154" s="81">
        <f t="shared" si="9"/>
        <v>38</v>
      </c>
      <c r="G154" s="82">
        <f t="shared" si="10"/>
        <v>1577</v>
      </c>
      <c r="H154" s="83">
        <f t="shared" si="11"/>
        <v>38</v>
      </c>
      <c r="I154" s="84" t="s">
        <v>195</v>
      </c>
    </row>
    <row r="155" spans="1:9" ht="4.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</row>
  </sheetData>
  <mergeCells count="28">
    <mergeCell ref="A1:I1"/>
    <mergeCell ref="A2:I2"/>
    <mergeCell ref="A3:I3"/>
    <mergeCell ref="A5:I5"/>
    <mergeCell ref="A10:I10"/>
    <mergeCell ref="A16:I16"/>
    <mergeCell ref="A24:I24"/>
    <mergeCell ref="A30:I30"/>
    <mergeCell ref="A36:I36"/>
    <mergeCell ref="A41:I41"/>
    <mergeCell ref="A46:I46"/>
    <mergeCell ref="A52:I52"/>
    <mergeCell ref="A58:I58"/>
    <mergeCell ref="A63:I63"/>
    <mergeCell ref="A68:I68"/>
    <mergeCell ref="A75:I75"/>
    <mergeCell ref="A79:I79"/>
    <mergeCell ref="A85:I85"/>
    <mergeCell ref="A91:I91"/>
    <mergeCell ref="A97:I97"/>
    <mergeCell ref="A139:I139"/>
    <mergeCell ref="A145:I145"/>
    <mergeCell ref="A148:I148"/>
    <mergeCell ref="A101:I101"/>
    <mergeCell ref="A107:I107"/>
    <mergeCell ref="A112:I112"/>
    <mergeCell ref="A117:I117"/>
    <mergeCell ref="A128:I1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44" customWidth="1"/>
    <col min="2" max="2" width="10" customWidth="1"/>
    <col min="3" max="3" width="9" customWidth="1"/>
    <col min="4" max="5" width="14" customWidth="1"/>
    <col min="6" max="6" width="16" customWidth="1"/>
    <col min="7" max="7" width="14" customWidth="1"/>
    <col min="8" max="8" width="18" customWidth="1"/>
  </cols>
  <sheetData>
    <row r="1" spans="1:8" ht="24" customHeight="1" x14ac:dyDescent="0.25">
      <c r="A1" s="183" t="s">
        <v>196</v>
      </c>
      <c r="B1" s="183"/>
      <c r="C1" s="183"/>
      <c r="D1" s="183"/>
      <c r="E1" s="183"/>
      <c r="F1" s="183"/>
      <c r="G1" s="183"/>
      <c r="H1" s="183"/>
    </row>
    <row r="2" spans="1:8" ht="21.75" customHeight="1" x14ac:dyDescent="0.25">
      <c r="A2" s="85" t="s">
        <v>197</v>
      </c>
      <c r="B2" s="86">
        <v>2953</v>
      </c>
      <c r="C2" s="85" t="s">
        <v>198</v>
      </c>
      <c r="D2" s="87">
        <v>75.8</v>
      </c>
      <c r="E2" s="85" t="s">
        <v>199</v>
      </c>
      <c r="F2" s="88">
        <v>41.5</v>
      </c>
      <c r="G2" s="89"/>
      <c r="H2" s="89"/>
    </row>
    <row r="3" spans="1:8" ht="13.5" customHeight="1" x14ac:dyDescent="0.25">
      <c r="A3" s="195" t="s">
        <v>200</v>
      </c>
      <c r="B3" s="195"/>
      <c r="C3" s="195"/>
      <c r="D3" s="195"/>
      <c r="E3" s="195"/>
      <c r="F3" s="195"/>
      <c r="G3" s="195"/>
      <c r="H3" s="195"/>
    </row>
    <row r="4" spans="1:8" ht="27.75" customHeight="1" x14ac:dyDescent="0.25">
      <c r="A4" s="1" t="s">
        <v>201</v>
      </c>
      <c r="B4" s="1" t="s">
        <v>202</v>
      </c>
      <c r="C4" s="1" t="s">
        <v>203</v>
      </c>
      <c r="D4" s="1" t="s">
        <v>204</v>
      </c>
      <c r="E4" s="1" t="s">
        <v>205</v>
      </c>
      <c r="F4" s="1" t="s">
        <v>206</v>
      </c>
      <c r="G4" s="1" t="s">
        <v>207</v>
      </c>
      <c r="H4" s="1" t="s">
        <v>208</v>
      </c>
    </row>
    <row r="5" spans="1:8" ht="16.5" customHeight="1" x14ac:dyDescent="0.25">
      <c r="A5" s="196" t="s">
        <v>209</v>
      </c>
      <c r="B5" s="196"/>
      <c r="C5" s="196"/>
      <c r="D5" s="196"/>
      <c r="E5" s="196"/>
      <c r="F5" s="196"/>
      <c r="G5" s="196"/>
      <c r="H5" s="196"/>
    </row>
    <row r="6" spans="1:8" ht="15.75" customHeight="1" x14ac:dyDescent="0.25">
      <c r="A6" s="90" t="s">
        <v>210</v>
      </c>
      <c r="B6" s="91">
        <v>57</v>
      </c>
      <c r="C6" s="91" t="s">
        <v>25</v>
      </c>
      <c r="D6" s="92">
        <v>0.6</v>
      </c>
      <c r="E6" s="93">
        <f>D6*B6</f>
        <v>34.199999999999996</v>
      </c>
      <c r="F6" s="94">
        <f>E6*$B$2</f>
        <v>100992.59999999999</v>
      </c>
      <c r="G6" s="94">
        <f>F6*$D$2/100</f>
        <v>76552.390799999994</v>
      </c>
      <c r="H6" s="95">
        <f>F6+G6</f>
        <v>177544.99079999997</v>
      </c>
    </row>
    <row r="7" spans="1:8" ht="15.75" customHeight="1" x14ac:dyDescent="0.25">
      <c r="A7" s="90" t="s">
        <v>211</v>
      </c>
      <c r="B7" s="91">
        <v>57</v>
      </c>
      <c r="C7" s="91" t="s">
        <v>25</v>
      </c>
      <c r="D7" s="92">
        <v>0.3</v>
      </c>
      <c r="E7" s="93">
        <f>D7*B7</f>
        <v>17.099999999999998</v>
      </c>
      <c r="F7" s="94">
        <f>E7*$B$2</f>
        <v>50496.299999999996</v>
      </c>
      <c r="G7" s="94">
        <f>F7*$D$2/100</f>
        <v>38276.195399999997</v>
      </c>
      <c r="H7" s="95">
        <f>F7+G7</f>
        <v>88772.495399999985</v>
      </c>
    </row>
    <row r="8" spans="1:8" ht="16.5" customHeight="1" x14ac:dyDescent="0.25">
      <c r="A8" s="197" t="s">
        <v>212</v>
      </c>
      <c r="B8" s="197"/>
      <c r="C8" s="197"/>
      <c r="D8" s="197"/>
      <c r="E8" s="197"/>
      <c r="F8" s="197"/>
      <c r="G8" s="197"/>
      <c r="H8" s="197"/>
    </row>
    <row r="9" spans="1:8" ht="15.75" customHeight="1" x14ac:dyDescent="0.25">
      <c r="A9" s="96" t="s">
        <v>213</v>
      </c>
      <c r="B9" s="97">
        <v>134</v>
      </c>
      <c r="C9" s="97" t="s">
        <v>40</v>
      </c>
      <c r="D9" s="92">
        <v>0.25</v>
      </c>
      <c r="E9" s="98">
        <f>D9*B9</f>
        <v>33.5</v>
      </c>
      <c r="F9" s="99">
        <f>E9*$B$2</f>
        <v>98925.5</v>
      </c>
      <c r="G9" s="99">
        <f>F9*$D$2/100</f>
        <v>74985.528999999995</v>
      </c>
      <c r="H9" s="100">
        <f>F9+G9</f>
        <v>173911.02899999998</v>
      </c>
    </row>
    <row r="10" spans="1:8" ht="15.75" customHeight="1" x14ac:dyDescent="0.25">
      <c r="A10" s="96" t="s">
        <v>214</v>
      </c>
      <c r="B10" s="97">
        <v>175</v>
      </c>
      <c r="C10" s="97" t="s">
        <v>40</v>
      </c>
      <c r="D10" s="92">
        <v>0.18</v>
      </c>
      <c r="E10" s="98">
        <f>D10*B10</f>
        <v>31.5</v>
      </c>
      <c r="F10" s="99">
        <f>E10*$B$2</f>
        <v>93019.5</v>
      </c>
      <c r="G10" s="99">
        <f>F10*$D$2/100</f>
        <v>70508.781000000003</v>
      </c>
      <c r="H10" s="100">
        <f>F10+G10</f>
        <v>163528.28100000002</v>
      </c>
    </row>
    <row r="11" spans="1:8" ht="15.75" customHeight="1" x14ac:dyDescent="0.25">
      <c r="A11" s="96" t="s">
        <v>215</v>
      </c>
      <c r="B11" s="97">
        <v>175</v>
      </c>
      <c r="C11" s="97" t="s">
        <v>40</v>
      </c>
      <c r="D11" s="92">
        <v>0.15</v>
      </c>
      <c r="E11" s="98">
        <f>D11*B11</f>
        <v>26.25</v>
      </c>
      <c r="F11" s="99">
        <f>E11*$B$2</f>
        <v>77516.25</v>
      </c>
      <c r="G11" s="99">
        <f>F11*$D$2/100</f>
        <v>58757.317499999997</v>
      </c>
      <c r="H11" s="100">
        <f>F11+G11</f>
        <v>136273.5675</v>
      </c>
    </row>
    <row r="12" spans="1:8" ht="16.5" customHeight="1" x14ac:dyDescent="0.25">
      <c r="A12" s="198" t="s">
        <v>216</v>
      </c>
      <c r="B12" s="198"/>
      <c r="C12" s="198"/>
      <c r="D12" s="198"/>
      <c r="E12" s="198"/>
      <c r="F12" s="198"/>
      <c r="G12" s="198"/>
      <c r="H12" s="198"/>
    </row>
    <row r="13" spans="1:8" ht="15.75" customHeight="1" x14ac:dyDescent="0.25">
      <c r="A13" s="101" t="s">
        <v>217</v>
      </c>
      <c r="B13" s="102">
        <v>120</v>
      </c>
      <c r="C13" s="102" t="s">
        <v>40</v>
      </c>
      <c r="D13" s="92">
        <v>0.2</v>
      </c>
      <c r="E13" s="103">
        <f>D13*B13</f>
        <v>24</v>
      </c>
      <c r="F13" s="104">
        <f>E13*$B$2</f>
        <v>70872</v>
      </c>
      <c r="G13" s="104">
        <f>F13*$D$2/100</f>
        <v>53720.975999999995</v>
      </c>
      <c r="H13" s="105">
        <f>F13+G13</f>
        <v>124592.976</v>
      </c>
    </row>
    <row r="14" spans="1:8" ht="15.75" customHeight="1" x14ac:dyDescent="0.25">
      <c r="A14" s="101" t="s">
        <v>218</v>
      </c>
      <c r="B14" s="102">
        <v>130</v>
      </c>
      <c r="C14" s="102" t="s">
        <v>40</v>
      </c>
      <c r="D14" s="92">
        <v>0.15</v>
      </c>
      <c r="E14" s="103">
        <f>D14*B14</f>
        <v>19.5</v>
      </c>
      <c r="F14" s="104">
        <f>E14*$B$2</f>
        <v>57583.5</v>
      </c>
      <c r="G14" s="104">
        <f>F14*$D$2/100</f>
        <v>43648.292999999998</v>
      </c>
      <c r="H14" s="105">
        <f>F14+G14</f>
        <v>101231.79300000001</v>
      </c>
    </row>
    <row r="15" spans="1:8" ht="15.75" customHeight="1" x14ac:dyDescent="0.25">
      <c r="A15" s="101" t="s">
        <v>219</v>
      </c>
      <c r="B15" s="102">
        <v>130</v>
      </c>
      <c r="C15" s="102" t="s">
        <v>40</v>
      </c>
      <c r="D15" s="92">
        <v>0.18</v>
      </c>
      <c r="E15" s="103">
        <f>D15*B15</f>
        <v>23.4</v>
      </c>
      <c r="F15" s="104">
        <f>E15*$B$2</f>
        <v>69100.2</v>
      </c>
      <c r="G15" s="104">
        <f>F15*$D$2/100</f>
        <v>52377.951599999993</v>
      </c>
      <c r="H15" s="105">
        <f>F15+G15</f>
        <v>121478.15159999998</v>
      </c>
    </row>
    <row r="16" spans="1:8" ht="15.75" customHeight="1" x14ac:dyDescent="0.25">
      <c r="A16" s="101" t="s">
        <v>220</v>
      </c>
      <c r="B16" s="102">
        <v>32</v>
      </c>
      <c r="C16" s="102" t="s">
        <v>40</v>
      </c>
      <c r="D16" s="92">
        <v>0.3</v>
      </c>
      <c r="E16" s="103">
        <f>D16*B16</f>
        <v>9.6</v>
      </c>
      <c r="F16" s="104">
        <f>E16*$B$2</f>
        <v>28348.799999999999</v>
      </c>
      <c r="G16" s="104">
        <f>F16*$D$2/100</f>
        <v>21488.3904</v>
      </c>
      <c r="H16" s="105">
        <f>F16+G16</f>
        <v>49837.190399999999</v>
      </c>
    </row>
    <row r="17" spans="1:8" ht="16.5" customHeight="1" x14ac:dyDescent="0.25">
      <c r="A17" s="190" t="s">
        <v>221</v>
      </c>
      <c r="B17" s="190"/>
      <c r="C17" s="190"/>
      <c r="D17" s="190"/>
      <c r="E17" s="190"/>
      <c r="F17" s="190"/>
      <c r="G17" s="190"/>
      <c r="H17" s="190"/>
    </row>
    <row r="18" spans="1:8" ht="15.75" customHeight="1" x14ac:dyDescent="0.25">
      <c r="A18" s="106" t="s">
        <v>222</v>
      </c>
      <c r="B18" s="107">
        <v>134</v>
      </c>
      <c r="C18" s="107" t="s">
        <v>40</v>
      </c>
      <c r="D18" s="92">
        <v>0.1</v>
      </c>
      <c r="E18" s="108">
        <f>D18*B18</f>
        <v>13.4</v>
      </c>
      <c r="F18" s="109">
        <f>E18*$B$2</f>
        <v>39570.200000000004</v>
      </c>
      <c r="G18" s="109">
        <f>F18*$D$2/100</f>
        <v>29994.211600000002</v>
      </c>
      <c r="H18" s="110">
        <f>F18+G18</f>
        <v>69564.411600000007</v>
      </c>
    </row>
    <row r="19" spans="1:8" ht="15.75" customHeight="1" x14ac:dyDescent="0.25">
      <c r="A19" s="106" t="s">
        <v>223</v>
      </c>
      <c r="B19" s="107">
        <v>134</v>
      </c>
      <c r="C19" s="107" t="s">
        <v>40</v>
      </c>
      <c r="D19" s="92">
        <v>0.2</v>
      </c>
      <c r="E19" s="108">
        <f>D19*B19</f>
        <v>26.8</v>
      </c>
      <c r="F19" s="109">
        <f>E19*$B$2</f>
        <v>79140.400000000009</v>
      </c>
      <c r="G19" s="109">
        <f>F19*$D$2/100</f>
        <v>59988.423200000005</v>
      </c>
      <c r="H19" s="110">
        <f>F19+G19</f>
        <v>139128.82320000001</v>
      </c>
    </row>
    <row r="20" spans="1:8" ht="16.5" customHeight="1" x14ac:dyDescent="0.25">
      <c r="A20" s="191" t="s">
        <v>224</v>
      </c>
      <c r="B20" s="191"/>
      <c r="C20" s="191"/>
      <c r="D20" s="191"/>
      <c r="E20" s="191"/>
      <c r="F20" s="191"/>
      <c r="G20" s="191"/>
      <c r="H20" s="191"/>
    </row>
    <row r="21" spans="1:8" ht="15.75" customHeight="1" x14ac:dyDescent="0.25">
      <c r="A21" s="111" t="s">
        <v>225</v>
      </c>
      <c r="B21" s="112">
        <v>131</v>
      </c>
      <c r="C21" s="112" t="s">
        <v>40</v>
      </c>
      <c r="D21" s="92">
        <v>0.3</v>
      </c>
      <c r="E21" s="113">
        <f>D21*B21</f>
        <v>39.299999999999997</v>
      </c>
      <c r="F21" s="114">
        <f>E21*$B$2</f>
        <v>116052.9</v>
      </c>
      <c r="G21" s="114">
        <f>F21*$D$2/100</f>
        <v>87968.098199999979</v>
      </c>
      <c r="H21" s="115">
        <f>F21+G21</f>
        <v>204020.99819999997</v>
      </c>
    </row>
    <row r="22" spans="1:8" ht="15.75" customHeight="1" x14ac:dyDescent="0.25">
      <c r="A22" s="111" t="s">
        <v>226</v>
      </c>
      <c r="B22" s="112">
        <v>131</v>
      </c>
      <c r="C22" s="112" t="s">
        <v>40</v>
      </c>
      <c r="D22" s="92">
        <v>0.25</v>
      </c>
      <c r="E22" s="113">
        <f>D22*B22</f>
        <v>32.75</v>
      </c>
      <c r="F22" s="114">
        <f>E22*$B$2</f>
        <v>96710.75</v>
      </c>
      <c r="G22" s="114">
        <f>F22*$D$2/100</f>
        <v>73306.748500000002</v>
      </c>
      <c r="H22" s="115">
        <f>F22+G22</f>
        <v>170017.49849999999</v>
      </c>
    </row>
    <row r="23" spans="1:8" ht="16.5" customHeight="1" x14ac:dyDescent="0.25">
      <c r="A23" s="192" t="s">
        <v>227</v>
      </c>
      <c r="B23" s="192"/>
      <c r="C23" s="192"/>
      <c r="D23" s="192"/>
      <c r="E23" s="192"/>
      <c r="F23" s="192"/>
      <c r="G23" s="192"/>
      <c r="H23" s="192"/>
    </row>
    <row r="24" spans="1:8" ht="15.75" customHeight="1" x14ac:dyDescent="0.25">
      <c r="A24" s="90" t="s">
        <v>228</v>
      </c>
      <c r="B24" s="91">
        <v>350</v>
      </c>
      <c r="C24" s="91" t="s">
        <v>40</v>
      </c>
      <c r="D24" s="92">
        <v>0.08</v>
      </c>
      <c r="E24" s="93">
        <f>D24*B24</f>
        <v>28</v>
      </c>
      <c r="F24" s="94">
        <f>E24*$B$2</f>
        <v>82684</v>
      </c>
      <c r="G24" s="94">
        <f>F24*$D$2/100</f>
        <v>62674.472000000002</v>
      </c>
      <c r="H24" s="95">
        <f>F24+G24</f>
        <v>145358.47200000001</v>
      </c>
    </row>
    <row r="25" spans="1:8" ht="15.75" customHeight="1" x14ac:dyDescent="0.25">
      <c r="A25" s="90" t="s">
        <v>229</v>
      </c>
      <c r="B25" s="91">
        <v>60</v>
      </c>
      <c r="C25" s="91" t="s">
        <v>40</v>
      </c>
      <c r="D25" s="92">
        <v>0.6</v>
      </c>
      <c r="E25" s="93">
        <f>D25*B25</f>
        <v>36</v>
      </c>
      <c r="F25" s="94">
        <f>E25*$B$2</f>
        <v>106308</v>
      </c>
      <c r="G25" s="94">
        <f>F25*$D$2/100</f>
        <v>80581.463999999993</v>
      </c>
      <c r="H25" s="95">
        <f>F25+G25</f>
        <v>186889.46399999998</v>
      </c>
    </row>
    <row r="26" spans="1:8" ht="16.5" customHeight="1" x14ac:dyDescent="0.25">
      <c r="A26" s="193" t="s">
        <v>230</v>
      </c>
      <c r="B26" s="193"/>
      <c r="C26" s="193"/>
      <c r="D26" s="193"/>
      <c r="E26" s="193"/>
      <c r="F26" s="193"/>
      <c r="G26" s="193"/>
      <c r="H26" s="193"/>
    </row>
    <row r="27" spans="1:8" ht="15.75" customHeight="1" x14ac:dyDescent="0.25">
      <c r="A27" s="116" t="s">
        <v>231</v>
      </c>
      <c r="B27" s="117">
        <v>30</v>
      </c>
      <c r="C27" s="117" t="s">
        <v>40</v>
      </c>
      <c r="D27" s="92">
        <v>0.5</v>
      </c>
      <c r="E27" s="118">
        <f>D27*B27</f>
        <v>15</v>
      </c>
      <c r="F27" s="119">
        <f>E27*$B$2</f>
        <v>44295</v>
      </c>
      <c r="G27" s="119">
        <f>F27*$D$2/100</f>
        <v>33575.61</v>
      </c>
      <c r="H27" s="120">
        <f>F27+G27</f>
        <v>77870.61</v>
      </c>
    </row>
    <row r="28" spans="1:8" ht="15.75" customHeight="1" x14ac:dyDescent="0.25">
      <c r="A28" s="116" t="s">
        <v>232</v>
      </c>
      <c r="B28" s="117">
        <v>77</v>
      </c>
      <c r="C28" s="117" t="s">
        <v>40</v>
      </c>
      <c r="D28" s="92">
        <v>0.15</v>
      </c>
      <c r="E28" s="118">
        <f>D28*B28</f>
        <v>11.549999999999999</v>
      </c>
      <c r="F28" s="119">
        <f>E28*$B$2</f>
        <v>34107.149999999994</v>
      </c>
      <c r="G28" s="119">
        <f>F28*$D$2/100</f>
        <v>25853.219699999994</v>
      </c>
      <c r="H28" s="120">
        <f>F28+G28</f>
        <v>59960.369699999988</v>
      </c>
    </row>
    <row r="29" spans="1:8" ht="16.5" customHeight="1" x14ac:dyDescent="0.25">
      <c r="A29" s="194" t="s">
        <v>233</v>
      </c>
      <c r="B29" s="194"/>
      <c r="C29" s="194"/>
      <c r="D29" s="194"/>
      <c r="E29" s="194"/>
      <c r="F29" s="194"/>
      <c r="G29" s="194"/>
      <c r="H29" s="194"/>
    </row>
    <row r="30" spans="1:8" ht="15.75" customHeight="1" x14ac:dyDescent="0.25">
      <c r="A30" s="121" t="s">
        <v>234</v>
      </c>
      <c r="B30" s="122">
        <v>10</v>
      </c>
      <c r="C30" s="122" t="s">
        <v>25</v>
      </c>
      <c r="D30" s="92">
        <v>0.4</v>
      </c>
      <c r="E30" s="123">
        <f>D30*B30</f>
        <v>4</v>
      </c>
      <c r="F30" s="124">
        <f>E30*$B$2</f>
        <v>11812</v>
      </c>
      <c r="G30" s="124">
        <f>F30*$D$2/100</f>
        <v>8953.4959999999992</v>
      </c>
      <c r="H30" s="125">
        <f>F30+G30</f>
        <v>20765.495999999999</v>
      </c>
    </row>
    <row r="31" spans="1:8" ht="15.75" customHeight="1" x14ac:dyDescent="0.25">
      <c r="A31" s="121" t="s">
        <v>235</v>
      </c>
      <c r="B31" s="122">
        <v>7</v>
      </c>
      <c r="C31" s="122" t="s">
        <v>25</v>
      </c>
      <c r="D31" s="92">
        <v>0.4</v>
      </c>
      <c r="E31" s="123">
        <f>D31*B31</f>
        <v>2.8000000000000003</v>
      </c>
      <c r="F31" s="124">
        <f>E31*$B$2</f>
        <v>8268.4000000000015</v>
      </c>
      <c r="G31" s="124">
        <f>F31*$D$2/100</f>
        <v>6267.4472000000005</v>
      </c>
      <c r="H31" s="125">
        <f>F31+G31</f>
        <v>14535.847200000002</v>
      </c>
    </row>
    <row r="32" spans="1:8" ht="15.75" customHeight="1" x14ac:dyDescent="0.25">
      <c r="A32" s="121" t="s">
        <v>236</v>
      </c>
      <c r="B32" s="122">
        <v>1</v>
      </c>
      <c r="C32" s="122" t="s">
        <v>25</v>
      </c>
      <c r="D32" s="92">
        <v>0.8</v>
      </c>
      <c r="E32" s="123">
        <f>D32*B32</f>
        <v>0.8</v>
      </c>
      <c r="F32" s="124">
        <f>E32*$B$2</f>
        <v>2362.4</v>
      </c>
      <c r="G32" s="124">
        <f>F32*$D$2/100</f>
        <v>1790.6992</v>
      </c>
      <c r="H32" s="125">
        <f>F32+G32</f>
        <v>4153.0992000000006</v>
      </c>
    </row>
    <row r="33" spans="1:8" ht="16.5" customHeight="1" x14ac:dyDescent="0.25">
      <c r="A33" s="187" t="s">
        <v>237</v>
      </c>
      <c r="B33" s="187"/>
      <c r="C33" s="187"/>
      <c r="D33" s="187"/>
      <c r="E33" s="187"/>
      <c r="F33" s="187"/>
      <c r="G33" s="187"/>
      <c r="H33" s="187"/>
    </row>
    <row r="34" spans="1:8" ht="15.75" customHeight="1" x14ac:dyDescent="0.25">
      <c r="A34" s="126" t="s">
        <v>238</v>
      </c>
      <c r="B34" s="127">
        <v>1</v>
      </c>
      <c r="C34" s="127" t="s">
        <v>21</v>
      </c>
      <c r="D34" s="92">
        <v>28</v>
      </c>
      <c r="E34" s="128">
        <f>D34</f>
        <v>28</v>
      </c>
      <c r="F34" s="129">
        <f>E34*$B$2</f>
        <v>82684</v>
      </c>
      <c r="G34" s="129">
        <f>F34*$D$2/100</f>
        <v>62674.472000000002</v>
      </c>
      <c r="H34" s="130">
        <f>F34+G34</f>
        <v>145358.47200000001</v>
      </c>
    </row>
    <row r="35" spans="1:8" ht="15.75" customHeight="1" x14ac:dyDescent="0.25">
      <c r="A35" s="126" t="s">
        <v>239</v>
      </c>
      <c r="B35" s="127">
        <v>1</v>
      </c>
      <c r="C35" s="127" t="s">
        <v>21</v>
      </c>
      <c r="D35" s="92">
        <v>22</v>
      </c>
      <c r="E35" s="128">
        <f>D35</f>
        <v>22</v>
      </c>
      <c r="F35" s="129">
        <f>E35*$B$2</f>
        <v>64966</v>
      </c>
      <c r="G35" s="129">
        <f>F35*$D$2/100</f>
        <v>49244.227999999996</v>
      </c>
      <c r="H35" s="130">
        <f>F35+G35</f>
        <v>114210.228</v>
      </c>
    </row>
    <row r="36" spans="1:8" ht="16.5" customHeight="1" x14ac:dyDescent="0.25">
      <c r="A36" s="188" t="s">
        <v>240</v>
      </c>
      <c r="B36" s="188"/>
      <c r="C36" s="188"/>
      <c r="D36" s="188"/>
      <c r="E36" s="188"/>
      <c r="F36" s="188"/>
      <c r="G36" s="188"/>
      <c r="H36" s="188"/>
    </row>
    <row r="37" spans="1:8" ht="15.75" customHeight="1" x14ac:dyDescent="0.25">
      <c r="A37" s="131" t="s">
        <v>241</v>
      </c>
      <c r="B37" s="132">
        <v>3</v>
      </c>
      <c r="C37" s="132" t="s">
        <v>133</v>
      </c>
      <c r="D37" s="92">
        <v>0.8</v>
      </c>
      <c r="E37" s="133">
        <f>D37*B37</f>
        <v>2.4000000000000004</v>
      </c>
      <c r="F37" s="134">
        <f>E37*$B$2</f>
        <v>7087.2000000000007</v>
      </c>
      <c r="G37" s="134">
        <f>F37*$D$2/100</f>
        <v>5372.0976000000001</v>
      </c>
      <c r="H37" s="135">
        <f>F37+G37</f>
        <v>12459.297600000002</v>
      </c>
    </row>
    <row r="38" spans="1:8" ht="15.75" customHeight="1" x14ac:dyDescent="0.25">
      <c r="A38" s="131" t="s">
        <v>242</v>
      </c>
      <c r="B38" s="132">
        <v>3</v>
      </c>
      <c r="C38" s="132" t="s">
        <v>28</v>
      </c>
      <c r="D38" s="92">
        <v>0.3</v>
      </c>
      <c r="E38" s="133">
        <f>D38*B38</f>
        <v>0.89999999999999991</v>
      </c>
      <c r="F38" s="134">
        <f>E38*$B$2</f>
        <v>2657.7</v>
      </c>
      <c r="G38" s="134">
        <f>F38*$D$2/100</f>
        <v>2014.5365999999997</v>
      </c>
      <c r="H38" s="135">
        <f>F38+G38</f>
        <v>4672.2365999999993</v>
      </c>
    </row>
    <row r="39" spans="1:8" ht="16.5" customHeight="1" x14ac:dyDescent="0.25">
      <c r="A39" s="189" t="s">
        <v>243</v>
      </c>
      <c r="B39" s="189"/>
      <c r="C39" s="189"/>
      <c r="D39" s="189"/>
      <c r="E39" s="189"/>
      <c r="F39" s="189"/>
      <c r="G39" s="189"/>
      <c r="H39" s="189"/>
    </row>
    <row r="40" spans="1:8" ht="15.75" customHeight="1" x14ac:dyDescent="0.25">
      <c r="A40" s="136" t="s">
        <v>244</v>
      </c>
      <c r="B40" s="137">
        <v>1</v>
      </c>
      <c r="C40" s="137" t="s">
        <v>25</v>
      </c>
      <c r="D40" s="92">
        <v>8</v>
      </c>
      <c r="E40" s="138">
        <f>D40*B40</f>
        <v>8</v>
      </c>
      <c r="F40" s="139">
        <f>E40*$B$2</f>
        <v>23624</v>
      </c>
      <c r="G40" s="139">
        <f>F40*$D$2/100</f>
        <v>17906.991999999998</v>
      </c>
      <c r="H40" s="140">
        <f>F40+G40</f>
        <v>41530.991999999998</v>
      </c>
    </row>
    <row r="41" spans="1:8" ht="24" customHeight="1" x14ac:dyDescent="0.25">
      <c r="A41" s="141" t="s">
        <v>245</v>
      </c>
      <c r="B41" s="142"/>
      <c r="C41" s="142"/>
      <c r="D41" s="142"/>
      <c r="E41" s="143">
        <f>SUM(E5:E40)</f>
        <v>490.75</v>
      </c>
      <c r="F41" s="144">
        <f>SUM(F5:F40)</f>
        <v>1449184.7499999995</v>
      </c>
      <c r="G41" s="144">
        <f>SUM(G5:G40)</f>
        <v>1098482.0404999999</v>
      </c>
      <c r="H41" s="144">
        <f>SUM(H5:H40)</f>
        <v>2547666.7905000006</v>
      </c>
    </row>
  </sheetData>
  <mergeCells count="13">
    <mergeCell ref="A1:H1"/>
    <mergeCell ref="A3:H3"/>
    <mergeCell ref="A5:H5"/>
    <mergeCell ref="A8:H8"/>
    <mergeCell ref="A12:H12"/>
    <mergeCell ref="A33:H33"/>
    <mergeCell ref="A36:H36"/>
    <mergeCell ref="A39:H39"/>
    <mergeCell ref="A17:H17"/>
    <mergeCell ref="A20:H20"/>
    <mergeCell ref="A23:H23"/>
    <mergeCell ref="A26:H26"/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3" width="16" customWidth="1"/>
    <col min="4" max="4" width="11" customWidth="1"/>
    <col min="5" max="5" width="30" customWidth="1"/>
  </cols>
  <sheetData>
    <row r="1" spans="1:5" ht="25.5" customHeight="1" x14ac:dyDescent="0.25">
      <c r="A1" s="199" t="s">
        <v>246</v>
      </c>
      <c r="B1" s="199"/>
      <c r="C1" s="199"/>
      <c r="D1" s="199"/>
    </row>
    <row r="2" spans="1:5" ht="15" customHeight="1" x14ac:dyDescent="0.25">
      <c r="A2" s="200" t="s">
        <v>247</v>
      </c>
      <c r="B2" s="200"/>
      <c r="C2" s="200"/>
      <c r="D2" s="200"/>
    </row>
    <row r="3" spans="1:5" ht="21.75" customHeight="1" x14ac:dyDescent="0.25">
      <c r="A3" s="145" t="s">
        <v>248</v>
      </c>
      <c r="B3" s="145" t="s">
        <v>249</v>
      </c>
      <c r="C3" s="145" t="s">
        <v>250</v>
      </c>
      <c r="D3" s="145" t="s">
        <v>251</v>
      </c>
    </row>
    <row r="4" spans="1:5" ht="21.75" customHeight="1" x14ac:dyDescent="0.25">
      <c r="A4" s="146" t="s">
        <v>252</v>
      </c>
      <c r="B4" s="147">
        <v>92516</v>
      </c>
      <c r="C4" s="148">
        <f>B4*$B$50</f>
        <v>3839414</v>
      </c>
      <c r="D4" s="149">
        <f>IF(B7&gt;0,B4/B7,0)</f>
        <v>0.37523564885875654</v>
      </c>
    </row>
    <row r="5" spans="1:5" ht="21.75" customHeight="1" x14ac:dyDescent="0.25">
      <c r="A5" s="150" t="s">
        <v>253</v>
      </c>
      <c r="B5" s="151">
        <f>('Jornales y MO'!H41)/B50+(B4+'Jornales y MO'!H41/B50)*B51/100+((B4+'Jornales y MO'!H41/B50)*(1+B51/100))*B52/100</f>
        <v>127568.95254012052</v>
      </c>
      <c r="C5" s="152">
        <f>B5*$B$50</f>
        <v>5294111.5304150013</v>
      </c>
      <c r="D5" s="153">
        <f>IF(B7&gt;0,B5/B7,0)</f>
        <v>0.5174069207555887</v>
      </c>
    </row>
    <row r="6" spans="1:5" ht="21.75" customHeight="1" x14ac:dyDescent="0.25">
      <c r="A6" s="154" t="s">
        <v>254</v>
      </c>
      <c r="B6" s="155">
        <f>'Jornales y MO'!G41/B50</f>
        <v>26469.446759036142</v>
      </c>
      <c r="C6" s="156">
        <f>B6*$B$50</f>
        <v>1098482.0404999999</v>
      </c>
      <c r="D6" s="157">
        <f>IF(B7&gt;0,B6/B7,0)</f>
        <v>0.10735743038565478</v>
      </c>
    </row>
    <row r="7" spans="1:5" ht="27.75" customHeight="1" x14ac:dyDescent="0.25">
      <c r="A7" s="158" t="s">
        <v>255</v>
      </c>
      <c r="B7" s="159">
        <f>B4+B5+B6</f>
        <v>246554.39929915665</v>
      </c>
      <c r="C7" s="144">
        <f>B7*B50</f>
        <v>10232007.570915001</v>
      </c>
      <c r="D7" s="160" t="s">
        <v>256</v>
      </c>
    </row>
    <row r="9" spans="1:5" ht="15" customHeight="1" x14ac:dyDescent="0.25">
      <c r="A9" s="201" t="s">
        <v>257</v>
      </c>
      <c r="B9" s="201"/>
      <c r="C9" s="201"/>
      <c r="D9" s="201"/>
    </row>
    <row r="10" spans="1:5" ht="21.75" customHeight="1" x14ac:dyDescent="0.25">
      <c r="A10" s="161" t="s">
        <v>258</v>
      </c>
      <c r="B10" s="162">
        <f>B7*1/D10</f>
        <v>2304.246722422025</v>
      </c>
      <c r="C10" s="163">
        <f>B10*B50</f>
        <v>95626.238980514041</v>
      </c>
      <c r="D10" s="164">
        <v>107</v>
      </c>
      <c r="E10" s="165" t="s">
        <v>259</v>
      </c>
    </row>
    <row r="11" spans="1:5" ht="21.75" customHeight="1" x14ac:dyDescent="0.25">
      <c r="A11" s="166" t="s">
        <v>260</v>
      </c>
      <c r="B11" s="167">
        <f>B7*0/D11</f>
        <v>0</v>
      </c>
      <c r="C11" s="168">
        <f>B11*B50</f>
        <v>0</v>
      </c>
      <c r="D11" s="164">
        <v>131</v>
      </c>
    </row>
    <row r="12" spans="1:5" ht="21.75" customHeight="1" x14ac:dyDescent="0.25">
      <c r="A12" s="169" t="s">
        <v>261</v>
      </c>
      <c r="B12" s="170">
        <f>B7*0/D12</f>
        <v>0</v>
      </c>
      <c r="C12" s="171">
        <f>B12*B50</f>
        <v>0</v>
      </c>
      <c r="D12" s="164">
        <v>32</v>
      </c>
    </row>
    <row r="14" spans="1:5" ht="15" customHeight="1" x14ac:dyDescent="0.25">
      <c r="A14" s="202" t="s">
        <v>262</v>
      </c>
      <c r="B14" s="202"/>
      <c r="C14" s="202"/>
      <c r="D14" s="202"/>
    </row>
    <row r="15" spans="1:5" ht="18" customHeight="1" x14ac:dyDescent="0.25">
      <c r="A15" s="172" t="s">
        <v>263</v>
      </c>
      <c r="B15" s="164">
        <f>$B$51</f>
        <v>10</v>
      </c>
    </row>
    <row r="16" spans="1:5" ht="18" customHeight="1" x14ac:dyDescent="0.25">
      <c r="A16" s="172" t="s">
        <v>264</v>
      </c>
      <c r="B16" s="164">
        <f>$B$52</f>
        <v>30</v>
      </c>
    </row>
    <row r="17" spans="1:2" ht="18" customHeight="1" x14ac:dyDescent="0.25">
      <c r="A17" s="172" t="s">
        <v>265</v>
      </c>
      <c r="B17" s="164">
        <f>$B$50</f>
        <v>41.5</v>
      </c>
    </row>
    <row r="50" spans="1:2" ht="15" hidden="1" customHeight="1" x14ac:dyDescent="0.25">
      <c r="A50" t="s">
        <v>266</v>
      </c>
      <c r="B50">
        <v>41.5</v>
      </c>
    </row>
    <row r="51" spans="1:2" ht="15" hidden="1" customHeight="1" x14ac:dyDescent="0.25">
      <c r="A51" t="s">
        <v>267</v>
      </c>
      <c r="B51">
        <v>10</v>
      </c>
    </row>
    <row r="52" spans="1:2" ht="15" hidden="1" customHeight="1" x14ac:dyDescent="0.25">
      <c r="A52" t="s">
        <v>268</v>
      </c>
      <c r="B52">
        <v>30</v>
      </c>
    </row>
  </sheetData>
  <mergeCells count="4">
    <mergeCell ref="A1:D1"/>
    <mergeCell ref="A2:D2"/>
    <mergeCell ref="A9:D9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Materiales por Rubro</vt:lpstr>
      <vt:lpstr>Jornales y MO</vt:lpstr>
      <vt:lpstr>Resumen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2026-05-12T23:03:04Z</dcterms:created>
  <dcterms:modified xsi:type="dcterms:W3CDTF">2026-05-13T03:29:52Z</dcterms:modified>
  <dc:language>en-US</dc:language>
</cp:coreProperties>
</file>